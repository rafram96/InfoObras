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03.  C. SALUD ATE sanchez ransal\"/>
    </mc:Choice>
  </mc:AlternateContent>
  <xr:revisionPtr revIDLastSave="0" documentId="13_ncr:1_{966BE02E-3938-4249-8EAD-DEBCE6038793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2026" sheetId="2" r:id="rId1"/>
    <sheet name="PROFESIONALES" sheetId="3" r:id="rId2"/>
    <sheet name="BD roberto" sheetId="4" r:id="rId3"/>
    <sheet name="ANAISIS BD" sheetId="5" r:id="rId4"/>
    <sheet name="--&gt;" sheetId="6" r:id="rId5"/>
    <sheet name="Hoja1" sheetId="8" r:id="rId6"/>
  </sheets>
  <definedNames>
    <definedName name="_xlnm._FilterDatabase" localSheetId="2" hidden="1">'BD roberto'!$A$1:$AD$52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4" l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3" i="3" l="1"/>
</calcChain>
</file>

<file path=xl/sharedStrings.xml><?xml version="1.0" encoding="utf-8"?>
<sst xmlns="http://schemas.openxmlformats.org/spreadsheetml/2006/main" count="1830" uniqueCount="630">
  <si>
    <t>Nombre del Profesional</t>
  </si>
  <si>
    <t>Fecha de Colegiación</t>
  </si>
  <si>
    <t>Especialidad a la que postulan</t>
  </si>
  <si>
    <t>N° de página de la colegiatura</t>
  </si>
  <si>
    <t>Ingeniero Civil</t>
  </si>
  <si>
    <t>Profesión (según título)</t>
  </si>
  <si>
    <t>No</t>
  </si>
  <si>
    <t>Col 1: Nombre Profesional</t>
  </si>
  <si>
    <t>Col 2: DNI / Colegiatura</t>
  </si>
  <si>
    <t>Col 3: Nombre del proyecto</t>
  </si>
  <si>
    <t>Col 4: Cargo en el proyecto</t>
  </si>
  <si>
    <t>Col 5: Emisor (Consorcio/Empresa)</t>
  </si>
  <si>
    <t>Col 6: RUC Emisor</t>
  </si>
  <si>
    <t>Col 7: Pública / Privada</t>
  </si>
  <si>
    <t>Col 8: Acreditación (Dueño o Subcontrato)</t>
  </si>
  <si>
    <t>Col 9: Fecha Inicio</t>
  </si>
  <si>
    <t>Col 10: Fecha Fin</t>
  </si>
  <si>
    <t>Col 11: Duración</t>
  </si>
  <si>
    <t>Col 13: ALERTA (Emisión &lt; Fin)</t>
  </si>
  <si>
    <t>Col 14: Folio</t>
  </si>
  <si>
    <t>Col 15: Nombre de quien firma</t>
  </si>
  <si>
    <t>Col 16: Cargo de quien firma</t>
  </si>
  <si>
    <t>Col 17: ALERTA (Firma no es Rep. Máximo)</t>
  </si>
  <si>
    <t>Col 18: Fecha creación empresa (ALERTA si &gt; Inicio)</t>
  </si>
  <si>
    <t>Col 19: ALERTA (Exp. &gt; 20 años)</t>
  </si>
  <si>
    <t>Col 20: Tipo de documento</t>
  </si>
  <si>
    <t>Representante Legal</t>
  </si>
  <si>
    <t>Pública</t>
  </si>
  <si>
    <t>Jefe de Supervisión</t>
  </si>
  <si>
    <t>Especialista en Instalaciones Sanitarias</t>
  </si>
  <si>
    <t>Especialista en Estructuras</t>
  </si>
  <si>
    <t>Especialista en Arquitectura</t>
  </si>
  <si>
    <t>Col 12: Fecha Emisión Cert/</t>
  </si>
  <si>
    <t>SI</t>
  </si>
  <si>
    <t>CUMPLE</t>
  </si>
  <si>
    <t>Col 1: Cargo a ocupar</t>
  </si>
  <si>
    <t>Col 2: Nombre del Profesional</t>
  </si>
  <si>
    <t>Col 3: Profesión (Propuesta)</t>
  </si>
  <si>
    <t>Col 4: Profesión (Bases)</t>
  </si>
  <si>
    <t>Col 5: ¿Cumple Profesión?</t>
  </si>
  <si>
    <t>ACRUTA &amp; TAPIA INGENIEROS S.A.C.</t>
  </si>
  <si>
    <t>Ing. Elias Tapia Julca</t>
  </si>
  <si>
    <t>Gerente de Contrato</t>
  </si>
  <si>
    <t>Establecimientos de salud</t>
  </si>
  <si>
    <t>Apoderado</t>
  </si>
  <si>
    <t>ESPECIALISTA EN ARQUITECTURA</t>
  </si>
  <si>
    <t>CONSORCIO HOSPITAL ESPINAR</t>
  </si>
  <si>
    <t>HUANG HUAYI</t>
  </si>
  <si>
    <t>Consorcio Hospitalario San Martin</t>
  </si>
  <si>
    <t>Representante</t>
  </si>
  <si>
    <t>Arquitecto</t>
  </si>
  <si>
    <t>Ingeniero Sanitario</t>
  </si>
  <si>
    <t>Ingeniero Mecánico Electricista</t>
  </si>
  <si>
    <t>Especialista en Instalaciones Mecánicas</t>
  </si>
  <si>
    <t>Especialista en Metrados, Costos y Valorizaciones</t>
  </si>
  <si>
    <t>Especialista BIM</t>
  </si>
  <si>
    <t>Especialista en Control y Aseguramiento de la Calidad</t>
  </si>
  <si>
    <t>David Efraín Torres Maquera</t>
  </si>
  <si>
    <t>Mejoramiento de los Servicios de Salud del Hospital II-1 Santa Gema de Yurimaguas...</t>
  </si>
  <si>
    <t>Constancia</t>
  </si>
  <si>
    <t>MEJORAMIENTO DE LOS SERVICIOS DE SALUD DEL HOSPITAL ESPINAR...</t>
  </si>
  <si>
    <t>Subcontrato</t>
  </si>
  <si>
    <t>Representante Común</t>
  </si>
  <si>
    <t>Constancia de Prestación de Servicios</t>
  </si>
  <si>
    <t>SINOHYDRO CORPORATION LIMITED, SUCURSAL DEL PERÚ</t>
  </si>
  <si>
    <t>Certificado de Trabajo</t>
  </si>
  <si>
    <t>Constancia de Servicios</t>
  </si>
  <si>
    <t>Especialista en Comunicaciones</t>
  </si>
  <si>
    <t>6. Folio</t>
  </si>
  <si>
    <t>7. Cargo Experiencia (Certificado)</t>
  </si>
  <si>
    <t>8. Cargos Válidos (Bases)</t>
  </si>
  <si>
    <t>9. Cumple Cargo?</t>
  </si>
  <si>
    <t>10. Proyecto / Experiencia</t>
  </si>
  <si>
    <t>11. Proyecto Válido (Bases)</t>
  </si>
  <si>
    <t>12. Cumple Proyecto?</t>
  </si>
  <si>
    <t>13. Tiene Fecha Fin?</t>
  </si>
  <si>
    <t>14. Tiene Fecha Fin?</t>
  </si>
  <si>
    <t>15. Tipo Obra (Cert.)</t>
  </si>
  <si>
    <t>16. Tipo Obra (Bases)</t>
  </si>
  <si>
    <t>17. Cumple Tipo Obra?</t>
  </si>
  <si>
    <t>18. Tipo Intervención (Cert.)</t>
  </si>
  <si>
    <t>19. Tipo Intervención (Bases)</t>
  </si>
  <si>
    <t>20. Cumple Intervención?</t>
  </si>
  <si>
    <t>21. Acredita Complejidad?</t>
  </si>
  <si>
    <t>22. Dentro 20 años?</t>
  </si>
  <si>
    <t>Ingeniería Sanitaria o Ingeniero Sanitario y Ambiental</t>
  </si>
  <si>
    <t>Especialista en Seguridad, Salud y Medio Ambiente</t>
  </si>
  <si>
    <t>Establecimiento de Salud</t>
  </si>
  <si>
    <t>Ejecución de obra</t>
  </si>
  <si>
    <t>Cargo y profesión</t>
  </si>
  <si>
    <t>Años de Colegiado (Exp. Mínima)</t>
  </si>
  <si>
    <t>Requisito Mínimo (Cargos similares y Puntuación)</t>
  </si>
  <si>
    <t>Tiempo adicional solicitado en Factores de Evaluación</t>
  </si>
  <si>
    <t>Capacitación solicitada (Requisitos y Factores)</t>
  </si>
  <si>
    <t>Gerente de ContratoIngeniería Civil</t>
  </si>
  <si>
    <t>2 años desde colegiatura +1</t>
  </si>
  <si>
    <t>2 años como: Residente de supervisión y/o director de obra y/o gerente de obra y/ Gerente de Supervisión y/o supervisor y/o residente y/o jefe de supervisión y/o ingeniero supervisor y/o supervisor de obras y/o residente de la obra y/o residente y/o ingeniero residente obras y/o gerente de construcción y/o la combinación. (En Edificaciones y afines / Establecimientos de salud).Puntaje: No aplica evaluación individual.+1</t>
  </si>
  <si>
    <t>No aplica (No está en la lista del Factor A)</t>
  </si>
  <si>
    <t>Ninguna. (No aplica Factor B)</t>
  </si>
  <si>
    <t>Jefe de SupervisiónIngeniería Civil, Ing. de Caminos Canales y Puertos, o Arquitectura</t>
  </si>
  <si>
    <t>4 años desde colegiatura +1</t>
  </si>
  <si>
    <t>4 años como: Residente y/o residente de obra y/o supervisor y/o inspector y/o jefe de supervisión y/o ingeniero residente de obra y/o ingeniero residente y/o residente de supervisión y/o jefe de obra y/o jefe de proyecto y/o ingeniero jefe de supervisión y/o ingeniero supervisor residente y/o ingeniero inspector y/o jefe de inspección y/o residente general y/o residente principal y/o Director de Contratos y/o Director de obras y/o jefe de sector y/o Jefe de tramo y/o Residente de sector y/o supervisor de obra y/o inspector de obra y/o Gerente de Proyecto y/o Gestor de Proyecto y/o Gerente de Obra y/o Supervisor Residente de Obra y/o Director de proyecto y/o inspector de obras en ejecución o supervisión y/o la combinación. (En Edificaciones y afines / Establecimientos de salud).+1</t>
  </si>
  <si>
    <t>1 año adicional (Forma parte del Factor A global de 60 pts)</t>
  </si>
  <si>
    <t>Especialista en ArquitecturaArquitectura</t>
  </si>
  <si>
    <t>4 años desde colegiatura +2</t>
  </si>
  <si>
    <t>4 años como: Especialista en arquitectura y/o Especialista en Arquitectura Hospitalaria y/o especialista en acabados y/o residente en arquitectura y/o especialista de arquitectura hospitalaria y/o supervisor especialista en arquitectura y/o especialidad de arquitectura hospitalaria y/o arquitecto especialista en proyectos hospitalarios y/o arquitecto especialista y/o arquitecto proyectista y/o en la especialidad de arquitectura y/o en proyectos hospitalarios y/o de arquitectura, acabados y mobiliario y/o arquitecto especialista en proyectos hospitalarios y/o arquitecto de acabado de obra y/o arquitecto en acabados y/o arquitecto especialista en acabados y/o arquitecto especialista y/o la combinación. (En Edificaciones y afines / Establecimientos de salud).+1</t>
  </si>
  <si>
    <t>Especialista en EstructurasIngeniería Civil</t>
  </si>
  <si>
    <t>3 años desde colegiatura +2</t>
  </si>
  <si>
    <t>3 años como: Especialista y/o Jefe y/o Responsable y/o Supervisor y/o Residente y/o Especialista y/o Ingeniero en/de: Estructuras de concreto armado y/o Estructuras y/o Estructural en: Edificaciones y/o Diseño Estructural y/o Cálculo Estructural; o la combinación. (En Edificaciones y afines / Establecimientos de salud).+2</t>
  </si>
  <si>
    <t>Especialista en Instalaciones SanitariasIngeniería Sanitaria o Ing. Sanitario y Ambiental</t>
  </si>
  <si>
    <t>2 años como: Especialista en Instalaciones Sanitarias y/o ingeniero especialista en instalaciones sanitarias y/o especialista sanitario y/o ingeniero residente de instalaciones sanitarias y/o ingeniero residente en la especialidad de ingeniería sanitaria y/o supervisor de obras en el área de instalaciones sanitarias interiores y/o especialista sanitario y/o especialista en instalaciones sanitarias y/o la combinación. (En Edificaciones y afines / Establecimientos de salud).+1</t>
  </si>
  <si>
    <t>Especialista en Instalaciones EléctricasIng. Electricista, Mecánica Electricista, Electromecánica, o Mecánico Eléctrico</t>
  </si>
  <si>
    <t>2 años como: Especialista y/o Responsable y/o Jefe y/o Ingeniero de/en: Instalaciones eléctricas y/o instalaciones mecánicas y eléctricas y/o instalaciones eléctricas y electromecánicas y/o eléctrico y/o instalaciones eléctricas y/o instalaciones eléctricas y electromecánicas y/o ingeniero electricista y/o instalaciones electromecánicas y/o ingeniero mecánico electricista y/o la combinación en/de: Eléctrico y/o mecánico y eléctrico. (En Edificaciones y afines / Establecimientos de salud).+1</t>
  </si>
  <si>
    <t>Especialista en Instalaciones MecánicasIng. Mecánica, Mecánica Electricista, Mecánica Eléctrica, o Electromecánica</t>
  </si>
  <si>
    <t>2 años desde colegiatura +2</t>
  </si>
  <si>
    <t>2 años como: Especialista en Instalaciones Mecánicas y/o especialista en instalaciones mecánica eléctrica y/o especialista en instalaciones electromecánicas y/o ingeniero en/de instalaciones eléctricas y electromecánicas y/o supervisor en la especialidad de instalaciones mecánicas y eléctricas y/o supervisor de las instalaciones eléctricas y electromecánicas y/o especialista en instalaciones eléctricas y electromecánicas y/o supervisor en la especialidad de instalaciones mecánicas y/o especialista en instalaciones mecánicas y eléctricas y/o especialista en instalaciones mecánicas y electromecánicas y/o ingeniero especialista en instalaciones mecánicas y eléctricas y/o ingeniero especialista en instalaciones eléctricas e instalaciones mecánicas y/o especialista mecánico y/o especialista en instalaciones mecánicas e instalaciones eléctricas y/o la combinación. (En Edificaciones y afines / Establecimientos de salud).+2</t>
  </si>
  <si>
    <t>Especialista en Implementación de Soluciones TICIng. Electrónica, Telecom., Sistemas, Sistemas e Informática, Electrónica y Telecom., Comunicaciones, o Informática</t>
  </si>
  <si>
    <t>2 años como: Especialista en Tecnología de la Información y Comunicación y/o Especialista en Comunicaciones y/o Especialista en Instalaciones de Comunicaciones y/o Especialista en Implementación de las Soluciones de la Tecnología de la Información y/o Especialista en comunicaciones y/o especialista en comunicaciones y cableado estructurado y/o especialista en instalaciones de cableado estructurado y/o especialista en comunicaciones y seguridad electrónica y/o especialista en/de instalaciones de sistemas de comunicaciones y/o especialista en/de instalaciones de redes informáticas y/o la combinación. (En Edificaciones y afines / Establecimientos de salud).+1</t>
  </si>
  <si>
    <t>Especialista en Equipamiento HospitalarioIng. Electrónica, Mecatrónica, biomédica, Médico o Médico cirujano</t>
  </si>
  <si>
    <t>3 años desde colegiatura +1</t>
  </si>
  <si>
    <t>3 años como: Especialista en Equipamiento Médico y/o Especialista en Equipamiento Hospitalario y/o Especialista y/o Responsable de/en: equipamiento y/o equipador y/o equipados y/o equipador médico y/o equipador biomédico hospitalario y/o Equipamiento hospitalario y/o equipamiento médico y/o la combinación. (En Edificaciones y afines / Establecimientos de salud).+1</t>
  </si>
  <si>
    <t>Especialista en Control y Aseguramiento de la CalidadIng. Civil, Industrial o Arquitectura</t>
  </si>
  <si>
    <t>2 años como: Especialista en control de calidad y/o Supervisión de Calidad y/o Responsable de Aseguramiento y Control de Calidad y/o Especialista de Aseguramiento y Control de Calidad y/o supervisión de control de calidad y/o supervisor de control de calidad y/o ingeniero y/o especialista y/o jefe y/o responsable y/o supervisor o la combinación en/de: calidad y/o control de calidad y/o del área de calidad y/o control aseguramiento de la calidad y/o responsable de aseguramiento de calidad y/o área control de calidad y/o la combinación. (En Edificaciones y afines / Establecimientos de salud).+1</t>
  </si>
  <si>
    <t>Especialista en Seguridad, Salud y Medio AmbienteIng. Civil, Seg., Industrial, Hig. y Seg. Ind., Ambiental, Agrónoma, Amb. y Rec. Nat., For. y Amb., Forestal, Agrícola, o Arquitectura</t>
  </si>
  <si>
    <t>2 años como: Especialista en Seguridad y Medio Ambiente y/o Especialista en seguridad, salud y medio ambiente y/o especialista en/de seguridad salud ocupacional y medio ambiente y/o especialista en seguridad, salud en el trabajo y medio ambiente y/o especialista en seguridad y salud en el trabajo y/o especialista en seguridad y medio ambiente y/o ingeniero de seguridad y medio ambiente y/o ingeniero seguridad ocupacional y medio ambiente y/o supervisor de SSOMA y/o supervisor de seguridad y medio ambiente y/o inspector/supervisor de SSOMA y/o la combinación. (En Edificaciones y afines / Establecimientos de salud).+2</t>
  </si>
  <si>
    <t>Especialista en Metrados, Costos y ValorizacionesIngeniería Civil y/o Arquitectura</t>
  </si>
  <si>
    <t>2 años como: Especialista en metrados, costos y presupuestos y/o metrados y valorizaciones y/o especialista en valorizaciones y/o supervisor de costos y presupuestos y/o especialista en costos y presupuestos y/o especialista en metrados y valorizaciones y/o especialista en metrados, presupuestos y valorizaciones y/o ingeniero especialista en metrados, costos y valorizaciones y/o ingeniero especialista en valorizaciones y/o especialista en valorizaciones y/o especialista en metrados, costos, presupuesto y valorizaciones y/o ingeniero de costos y presupuestos y/o ingeniero especialista en costos, metrados y valorizaciones y/o especialista en metrados, costos y valorizaciones y/o ingeniero y/o especialista y/o supervisor y/o jefe y/o responsable o la combinación. (En Edificaciones y afines / Establecimientos de salud).+1</t>
  </si>
  <si>
    <t>Especialista BIMIngeniería Civil o Arquitectura</t>
  </si>
  <si>
    <t>2 años como: Especialista BIM y/o Modelador BIM, y/o Ingeniero BIM y/o la combinación. (En Edificaciones y afines / Establecimientos de salud).+1</t>
  </si>
  <si>
    <t>Especialista en Configuraciones TICIng. Electrónica, Telecom., Sistemas, Sistemas e Informática, Electrónica y Telecom., Comunicaciones, o Informática</t>
  </si>
  <si>
    <t>2 años como: Ingeniero Electrónico y/o Ingeniero de telecomunicaciones y/o telecomunicaciones y/o especialista en comunicaciones y/o Ingeniero de sistemas y/o Ingeniero de cómputo y/o Ingeniero de sistemas e informática y/o Ingeniería de tecnologías de la información y comunicaciones y/o Ingeniero de comunicaciones y/o Especialista en comunicaciones y/o Especialista en Configuraciones TIC y/o especialista en comunicaciones y cableado estructurado y/o ingeniero de sistemas de información y/o ingeniero especialista en redes de cableado estructurado y comunicaciones y/o especialista en cableado estructurado y/o especialista en redes de cableado estructurado y/o especialista en/de instalaciones de redes de data y comunicaciones y/o especialista en cableado estructurado, voz y data y/o especialista en instalaciones de cableado estructurado y/o especialista en voz y data y/o especialista en redes de datos y seguridad electrónica y/o especialista en comunicaciones y seguridad electrónica y/o especialista en/de instalaciones de sistemas de comunicaciones y/o especialista en/de instalaciones de redes informáticas y/o especialista en/de cableado estructurado y/o Especialista en Tecnología de la Información y Comunicación y/o la combinación. (En Edificaciones y afines / Establecimientos de salud).+1</t>
  </si>
  <si>
    <t>EMILIO RODRIGUEZ GONGORA</t>
  </si>
  <si>
    <t>JAIRO OCAMPO MESIA</t>
  </si>
  <si>
    <t>LUIS ANGEL PEJERREY MINGUILLO</t>
  </si>
  <si>
    <t>CRISTIAN ERICK GAVILAN VENTURA</t>
  </si>
  <si>
    <t>SHEYLA JAQUELINE OYARCE SANCHEZ</t>
  </si>
  <si>
    <t>Ingeniera Mecánico Electricista</t>
  </si>
  <si>
    <t>HOVER PEREZ CRUZALEGUI</t>
  </si>
  <si>
    <t>Ingeniero Electrónico</t>
  </si>
  <si>
    <t>CHRISTIAN OSCAR CASTILLO LAPA</t>
  </si>
  <si>
    <t>DIEGHI PIERRE MANAY MARTINEZ</t>
  </si>
  <si>
    <t>DAVID EFRAIN TORRES MAQUERA</t>
  </si>
  <si>
    <t>ALEXI BERRÚ MORE</t>
  </si>
  <si>
    <t>Ingeniero Electrónico y Telecomunicaciones</t>
  </si>
  <si>
    <t>Arthur Christopher Tandazo Rivera</t>
  </si>
  <si>
    <t>Folio 02105</t>
  </si>
  <si>
    <t>Emilio Rodríguez Góngora</t>
  </si>
  <si>
    <t>26/05/1997 (Según diploma CIP)</t>
  </si>
  <si>
    <t>Folio 02068</t>
  </si>
  <si>
    <t>Jairo Ocampo Mesía</t>
  </si>
  <si>
    <t>Folio 02081</t>
  </si>
  <si>
    <t>Jimmy Chicoma de la Cruz Huayaney</t>
  </si>
  <si>
    <t>Folio 02114</t>
  </si>
  <si>
    <t>Luis Ángel Pejerrey Minguillo</t>
  </si>
  <si>
    <t>16/09/2013 (Según diploma CIP)</t>
  </si>
  <si>
    <t>Folio 02132</t>
  </si>
  <si>
    <t>Cristian Erick Gavilán Ventura</t>
  </si>
  <si>
    <t>Especialista en Instalaciones Eléctricas / Electromecánicas</t>
  </si>
  <si>
    <t>Folio 02139</t>
  </si>
  <si>
    <t>Sheyla Jaqueline Oyarce Sánchez</t>
  </si>
  <si>
    <t>No visible en la propuesta</t>
  </si>
  <si>
    <t>No visible</t>
  </si>
  <si>
    <t>Hover Pérez Cruzalegui</t>
  </si>
  <si>
    <t>Especialista en Implementación de las Soluciones de TI</t>
  </si>
  <si>
    <t>Folio 02156</t>
  </si>
  <si>
    <t>Christian Oscar Castillo Lapa</t>
  </si>
  <si>
    <t>Folio 02186</t>
  </si>
  <si>
    <t>Josué Antonio Salazar Gutiérrez</t>
  </si>
  <si>
    <t>Folio 02196</t>
  </si>
  <si>
    <t>Dieghi Pierre Manay Martínez</t>
  </si>
  <si>
    <t>Folio 02203</t>
  </si>
  <si>
    <t>Folio 02211</t>
  </si>
  <si>
    <t>Alexi Berrú More</t>
  </si>
  <si>
    <t>Especialista en Redes de Cableado Estructurado y Comunicaciones</t>
  </si>
  <si>
    <t>Folio 02224</t>
  </si>
  <si>
    <t>DNI 23857793 / CIP 53489</t>
  </si>
  <si>
    <t>Jefe de Supervisión de Obra</t>
  </si>
  <si>
    <t>ASESORES TÉCNICOS ASOCIADOS S.A.</t>
  </si>
  <si>
    <t>Frank Marvin Müller Figueroa</t>
  </si>
  <si>
    <t>Constancia de Servicios Profesionales</t>
  </si>
  <si>
    <t>Supervisor de la construcción y el equipamiento</t>
  </si>
  <si>
    <t>02070 - 02071</t>
  </si>
  <si>
    <t>Rafael Francisco Hidalgo Calle</t>
  </si>
  <si>
    <t>Mejoramiento y Ampliación de la Capacidad de Respuesta en el Tratamiento Ambulatorio del Cáncer del INEN</t>
  </si>
  <si>
    <t>Supervisor de Obra</t>
  </si>
  <si>
    <t>Ampliación, Remodelación y Reforzamiento Estructural de la Clínica Stella Maris</t>
  </si>
  <si>
    <t>Privada</t>
  </si>
  <si>
    <t>Gerente General</t>
  </si>
  <si>
    <t>DNI 00826133 / CIP 77410</t>
  </si>
  <si>
    <t>CONSORCIO SUPERVISOR CABALLOCOCHA</t>
  </si>
  <si>
    <t>Dieghi Pierre Manay Martinez</t>
  </si>
  <si>
    <t>Residente de Obra</t>
  </si>
  <si>
    <t>CONSORCIO CRUZ DEL NORTE</t>
  </si>
  <si>
    <t>Walter De La Cruz Zambrano</t>
  </si>
  <si>
    <t>RUC 10008261330 (DNI 00826133)</t>
  </si>
  <si>
    <t>Diego José Herranz Pérez</t>
  </si>
  <si>
    <t>Director General</t>
  </si>
  <si>
    <t>Constancia de Ejecución de Servicios</t>
  </si>
  <si>
    <t>CIP 77410</t>
  </si>
  <si>
    <t>Agustina Gracia Montero Vigo</t>
  </si>
  <si>
    <t>Ejecución de obra del proyecto de inversión creación de los Servicios de Salud del Hospital del Altiplano de la Región de Puno ESSALUD</t>
  </si>
  <si>
    <t>GUO HONGBING</t>
  </si>
  <si>
    <t>CREACIÓN DE LOS SERVICIOS DE SALUD DEL HOSPITAL ESPECIALIZADO EN LA RED ASISTENCIAL CAJAMARCA - ESSALUD</t>
  </si>
  <si>
    <t>Especialista en Arquitectura Hospitalaria</t>
  </si>
  <si>
    <t>SÁNCHEZ - HORNEROS GÓMEZ ANTONIO</t>
  </si>
  <si>
    <t>19 meses</t>
  </si>
  <si>
    <t>Daniel Querub Perelis</t>
  </si>
  <si>
    <t>Jimmy Chicoma De La Cruz Huayaney</t>
  </si>
  <si>
    <t>SALDO DE OBRA REFORMULADO DE LA OBRA PRINCIPAL MEJORAMIENTO DE LOS SERVICIOS DE SALUD DEL ESTABLECIMIENTO DE SALUD PROGRESO</t>
  </si>
  <si>
    <t>ESPECIALISTA DE ESTRUCTURAS</t>
  </si>
  <si>
    <t>CONSORCIO SALUD PROGRESO</t>
  </si>
  <si>
    <t>Constancia de Trabajo</t>
  </si>
  <si>
    <t>ESPECIALISTA EN ESTRUCTURAS</t>
  </si>
  <si>
    <t>INSTITUTO DE CONSULTORÍA S.A.</t>
  </si>
  <si>
    <t>Danitza Zulema Echandía Moreno</t>
  </si>
  <si>
    <t>Fortalecimiento de los Servicios de Salud del Hospital Regional de Pucallpa-Región Ucayali</t>
  </si>
  <si>
    <t>GOBIERNO REGIONAL DE UCAYALI</t>
  </si>
  <si>
    <t>Conformidad de Servicio</t>
  </si>
  <si>
    <t>ESPECIALISTA EN INSTALACIONES SANITARIAS</t>
  </si>
  <si>
    <t>Dueño del contrato</t>
  </si>
  <si>
    <t>HUAYI HUANG</t>
  </si>
  <si>
    <t>ESPECIALISTA ELECTROMECANICO</t>
  </si>
  <si>
    <t>CONSORCIO SAN NICOLAS</t>
  </si>
  <si>
    <t>4 meses</t>
  </si>
  <si>
    <t>BARTRA CASANOVA MARTIN</t>
  </si>
  <si>
    <t>Jefe de Recursos Humanos</t>
  </si>
  <si>
    <t>ALERTA</t>
  </si>
  <si>
    <t>INGENIERO ESPECIALISTA EN INSTALACIONES ELÉCTRICAS Y MECÁNICAS</t>
  </si>
  <si>
    <t>CONSORCIO SAN MATEO</t>
  </si>
  <si>
    <t>EDWIN CANDIOTTI VARGAS</t>
  </si>
  <si>
    <t>Mejoramiento de los Servicios de Salud del Hospital de Salud II-1 Tocache...</t>
  </si>
  <si>
    <t>Ingeniero Especialista en Instalaciones Eléctricas y Electromecánicas</t>
  </si>
  <si>
    <t>Alcides Arroyo Espinoza</t>
  </si>
  <si>
    <t>Jefe de personal / Recursos Humanos</t>
  </si>
  <si>
    <t>Ingeniero Eléctrico</t>
  </si>
  <si>
    <t>CONSORCIO ALTO AMAZONAS</t>
  </si>
  <si>
    <t>EVA AMALIA KASENG SALAS</t>
  </si>
  <si>
    <t>Ejecución de la Obra del Nuevo Local del Hospital Nuestra Señora de las Mercedes...</t>
  </si>
  <si>
    <t>INGENIERO ELECTRICISTA</t>
  </si>
  <si>
    <t>CONSORCIO HOSPITALARIO LAS MERCEDES</t>
  </si>
  <si>
    <t>MEJORAMIENTO Y AMPLIACIÓN DE LOS SERVICIOS DE SALUD DEL HOSPITAL DE APOYO DE POMABAMBA...</t>
  </si>
  <si>
    <t>CONSORCIO PERÚ HEALTH</t>
  </si>
  <si>
    <t>Milagros Escobar Rozas</t>
  </si>
  <si>
    <t>MEJORAMIENTO DE LA CAPACIDAD RESOLUTIVA DE LA UNIDAD PRODUCTORA DE LOS SERVICIOS DE SALUD DEL HOSPITAL CORACORA...</t>
  </si>
  <si>
    <t>ESPECIALISTA EN INSTALACIONES MECANICAS</t>
  </si>
  <si>
    <t>MEJORAMIENTO DE LOS SERVICIOS DE SALUD EN EL ESTABLECIMIENTO DEL CENTRO DE SALUD I-4 DE PICOTA...</t>
  </si>
  <si>
    <t>Ingeniera Electromecánico</t>
  </si>
  <si>
    <t>CONSTRUCCION Y ADMINISTRACION S.A. SEDE PICOTA</t>
  </si>
  <si>
    <t>8 meses</t>
  </si>
  <si>
    <t>GERENTE GENERAL</t>
  </si>
  <si>
    <t>Especialista en Cableado Estructurado</t>
  </si>
  <si>
    <t>Representante Legal Consorcio</t>
  </si>
  <si>
    <t>Certificado de Servicios</t>
  </si>
  <si>
    <t>JUAN CARLOS PALMA RAMIREZ</t>
  </si>
  <si>
    <t>Especialista en Equipamiento Biomédico</t>
  </si>
  <si>
    <t>Bartra Casanova Martin</t>
  </si>
  <si>
    <t>Especialista en Equipamiento Biomedico</t>
  </si>
  <si>
    <t>Ingeniero Especialista en Equipamiento Biomedico Hospitalario</t>
  </si>
  <si>
    <t>Universidad Nacional Hermilio Valdizan</t>
  </si>
  <si>
    <t>Lyv Zhihong</t>
  </si>
  <si>
    <t>JOSUÉ ANTONIO SALAZAR GUTIERREZ</t>
  </si>
  <si>
    <t>Maria Luisa Carbajo Muñoz</t>
  </si>
  <si>
    <t>Especialista en Seguridad y Salud Ocupacional</t>
  </si>
  <si>
    <t>Consultor de Obras</t>
  </si>
  <si>
    <t>Katterine Rivera Alfaro</t>
  </si>
  <si>
    <t>Especialista en Tecnologías de la Información y Comunicación (TIC)</t>
  </si>
  <si>
    <t>Ingeniero Especialista en Telecomunicaciones</t>
  </si>
  <si>
    <t>Emilio Rodriguez Gongora</t>
  </si>
  <si>
    <t>Título Profesional en: Ingeniería Civil</t>
  </si>
  <si>
    <t>SI (Coincide como título profesional equivalente)</t>
  </si>
  <si>
    <t>Residente de supervisión y/o director de obra y/o gerente de obra y/ Gerente de Supervisión y/o supervisor y/o residente y/o jefe de supervisión y/o ingeniero supervisor y/o supervisor de obras y/o residente de la obra y/o residente y/o ingeniero residente obras y/o gerente de construcción y/o la combinación de los términos mencionados</t>
  </si>
  <si>
    <t>CUMPLE ("Jefe de supervisión" + "de Obra" aplica como combinación válida)</t>
  </si>
  <si>
    <t>Mejoramiento de la Capacidad resolutiva de la Unidades Productoras del Hospital de Cora Cora...</t>
  </si>
  <si>
    <t xml:space="preserve">Obras en la especialidad de "Edificaciones y afines" y subespecialidad "Establecimientos de salud" </t>
  </si>
  <si>
    <t>30 de setiembre del 2025</t>
  </si>
  <si>
    <t>Hospital</t>
  </si>
  <si>
    <t xml:space="preserve">Establecimiento de salud (del primer, segundo, tercer nivel, institutos o afines) </t>
  </si>
  <si>
    <t>Mejoramiento</t>
  </si>
  <si>
    <t>Ejecución y/o supervisión de obras (el tipo de intervención no importa)</t>
  </si>
  <si>
    <t>02070 / 02071 +1</t>
  </si>
  <si>
    <t>NO CUMPLE (Contiene palabras adicionales ajenas a los términos exactos)</t>
  </si>
  <si>
    <t>Mejora de la Capacidad Resolutiva y Operativa del Hospital Román Egoavil Pando...</t>
  </si>
  <si>
    <t>10 de diciembre del 2021</t>
  </si>
  <si>
    <t>Hospital Nivel II de Alta Complejidad</t>
  </si>
  <si>
    <t>Establecimiento de salud</t>
  </si>
  <si>
    <t>Mejora</t>
  </si>
  <si>
    <t>31 de diciembre del 2020</t>
  </si>
  <si>
    <t>Instituto de Salud del Tipo III-2</t>
  </si>
  <si>
    <t>Establecimiento de salud (incluye Institutos especializados)</t>
  </si>
  <si>
    <t>Mejoramiento y Ampliación</t>
  </si>
  <si>
    <t xml:space="preserve">Ampliación, Remodelación y Reforzamiento Estructural de la Clínica Stella Maris </t>
  </si>
  <si>
    <t>26 de abril del 2018</t>
  </si>
  <si>
    <t>Clínica (Establecimiento de Salud de categoría II-1)</t>
  </si>
  <si>
    <t xml:space="preserve">Ampliación, Remodelación y Reforzamiento Estructural </t>
  </si>
  <si>
    <t>Jairo Ocampo Mesia</t>
  </si>
  <si>
    <t xml:space="preserve">Título Profesional, en: Ingeniería Civil o Ingeniero de Caminos Canales y Puertos o Arquitectura </t>
  </si>
  <si>
    <t>JEFE DE SUPERVISION</t>
  </si>
  <si>
    <t>Residente y/o residente de obra y/o supervisor y/o inspector y/o jefe de supervisión y/o ingeniero residente de obra y/o ingeniero residente y/o residente de supervisión y/o jefe de obra y/o jefe de proyecto y/o ingeniero jefe de supervisión y/o ingeniero supervisor residente y/o ingeniero inspector y/o jefe de inspección y/o residente general y/o residente principal y/o Director de Contratos y/o Director de obras y/o jefe de sector y/o Jefe de tramo y/o Residente de sector y/o supervisor de obra y/o inspector de obra y/o Gerente de Proyecto y/o Gestor de Proyecto y/o Gerente de Obra y/o Supervisor Residente de Obra y/o Director de proyecto y/o inspector de obras en ejecución o supervisión y/o la combinación de los términos mencionados</t>
  </si>
  <si>
    <t>MEJORAMIENTO DE LA PRESTACIÓN DE LOS SERVICIOS DE SALUD EN EL CENTRO DE SALUD I-4 CABALLOCOCHA...</t>
  </si>
  <si>
    <t>Centro de Salud I-4</t>
  </si>
  <si>
    <t>RESIDENTE DE OBRA</t>
  </si>
  <si>
    <t>Residente y/o residente de obra y/o supervisor y/o inspector y/o jefe de supervisión y/o ingeniero residente de obra... (y/o combinaciones)</t>
  </si>
  <si>
    <t>MEJORAMIENTO DE LOS SERVICIOS DE SALUD DEL CENTRO DE SALUD LA RAMADA...</t>
  </si>
  <si>
    <t>Centro de Salud</t>
  </si>
  <si>
    <t>Inspección de obra</t>
  </si>
  <si>
    <t>NO CUMPLE (La base permite 'inspector de obra' o 'inspector', pero el certificado indica el servicio 'Inspección de obra')</t>
  </si>
  <si>
    <t>MEJORAMIENTO Y AMPLIACION DE LOS SERVICIOS DE SALUD DEL ESTABLECIMIENTO DE SALUD LLATA...</t>
  </si>
  <si>
    <t>30 de abril del 2024</t>
  </si>
  <si>
    <t>Supervisión de la Obra: Mejoramiento y Ampliación de los servicios de salud del Establecimiento de Salud Alto Inclán...</t>
  </si>
  <si>
    <t>30.09.2022</t>
  </si>
  <si>
    <t>Título Profesional en: Arquitectura</t>
  </si>
  <si>
    <t>Pág. 6</t>
  </si>
  <si>
    <t>Especialista en arquitectura y/o Especialista en Arquitectura Hospitalaria...</t>
  </si>
  <si>
    <t>Ejecución de obra del proyecto... Hospital del Altiplano de la Región de Puno</t>
  </si>
  <si>
    <t>Ejecución y/o supervisión</t>
  </si>
  <si>
    <t>Hospital Nivel II-2</t>
  </si>
  <si>
    <t>Pág. 7</t>
  </si>
  <si>
    <t>Creación de los Servicios de Salud del Hospital Especializado en la Red Asistencial Cajamarca</t>
  </si>
  <si>
    <t>Hospital Especializado</t>
  </si>
  <si>
    <t>Ejecución de la obra</t>
  </si>
  <si>
    <t>Pág. 8</t>
  </si>
  <si>
    <t>Mejoramiento de las Capacidades Resolutivas del Hospital de San Miguel</t>
  </si>
  <si>
    <t>Hospital Segundo Nivel</t>
  </si>
  <si>
    <t>Supervisión de la obra</t>
  </si>
  <si>
    <t>Pág. 9</t>
  </si>
  <si>
    <t>Mejoramiento de los Servicios de Salud del Hospital Distrital de Pacasmayo</t>
  </si>
  <si>
    <t>Hospital Distrital</t>
  </si>
  <si>
    <t>Pág. 26</t>
  </si>
  <si>
    <t>Especialista de Estructuras</t>
  </si>
  <si>
    <t>Especialista... en/de: Estructuras...</t>
  </si>
  <si>
    <t>Saldo de Obra Reformulado... Establecimiento de Salud Progreso</t>
  </si>
  <si>
    <t>Saldo de obra / Ejecución</t>
  </si>
  <si>
    <t>Pág. 25</t>
  </si>
  <si>
    <t>Supervisión de la Obra: Construcción del saldo de obra del Hospital II-1 de San Ignacio</t>
  </si>
  <si>
    <t xml:space="preserve">NO VALE (Señala "a la fecha") </t>
  </si>
  <si>
    <t>NO VALE (Señala "a la fecha")</t>
  </si>
  <si>
    <t>Pág. 15</t>
  </si>
  <si>
    <t>Fortalecimiento de los Servicios de Salud del Hospital Regional de Pucallpa</t>
  </si>
  <si>
    <t>Hospital Regional</t>
  </si>
  <si>
    <t>Fortalecimiento de Servicios (Proyecto)</t>
  </si>
  <si>
    <t>Especialista en Instalaciones Sanitarias y/o ingeniero especialista en instalaciones sanitarias... (etc.)</t>
  </si>
  <si>
    <t>MEJORAMIENTO Y AMPLIACIÓN DE LOS SERVICIOS DE SALUD DEL ESTABLECIMIENTO DE SALUD LA LIBERTAD...</t>
  </si>
  <si>
    <t>Obras en Edificaciones y afines, subespecialidad Establecimientos de salud</t>
  </si>
  <si>
    <t>NO VALE (Indica "hasta la actualidad")</t>
  </si>
  <si>
    <t>Ejecución y/o supervisión de obras (No importa el tipo de intervención)</t>
  </si>
  <si>
    <t>SI (No aplica por no tener fin exacto, pero reciente)</t>
  </si>
  <si>
    <t>Tiene fecha de término (30/03/2022)</t>
  </si>
  <si>
    <t>Tiene fecha de término</t>
  </si>
  <si>
    <t>Especialista en Instalaciones Electricas</t>
  </si>
  <si>
    <t>Ingeniería Electricista o Ingeniería Mecánica Electricista o Ingeniería Electromecánica...</t>
  </si>
  <si>
    <t>Especialista y/o Responsable... de/en: Instalaciones eléctricas y/o instalaciones mecánicas y eléctricas... (etc.)</t>
  </si>
  <si>
    <t>NO CUMPLE (Le faltan palabras como "en instalaciones" para que la combinación sea exacta)</t>
  </si>
  <si>
    <t>MEJORAMIENTO DEL ACCESO A SERVICIOS DE SALUD DE SEGUNDO NIVEL DE ATENCION... HOSPITAL MARIA AUXILIADORA...</t>
  </si>
  <si>
    <t>Tiene fecha de término (31/08/2024)</t>
  </si>
  <si>
    <t>NO CUMPLE (El orden "eléctricas y mecánicas" tiene palabras invertidas respecto a la base "mecánicas y eléctricas")</t>
  </si>
  <si>
    <t>MEJORAMIENTO DEL SERVICIO DEL CENTRO DE SALUD DE QUILMANÁ...</t>
  </si>
  <si>
    <t>Tiene fecha de término (29/02/2024)</t>
  </si>
  <si>
    <t>CUMPLE (Es una combinación literal exacta de los términos de las bases)</t>
  </si>
  <si>
    <t>Tiene fecha de término (14/12/2017)</t>
  </si>
  <si>
    <t>Especialista y/o Responsable... de/en: ...eléctrico...</t>
  </si>
  <si>
    <t>CUMPLE (Combinación literal exacta "Ingeniero" + "eléctrico")</t>
  </si>
  <si>
    <t>Tiene fecha de término (31/10/2016)</t>
  </si>
  <si>
    <t>... ingeniero electricista ... (etc.)</t>
  </si>
  <si>
    <t>Tiene fecha de término (22/02/2014)</t>
  </si>
  <si>
    <t>Ejecución (Construcción)</t>
  </si>
  <si>
    <t>Ingeniería Mecánica o Ingeniería Mecánica Electricista... (Diferencia de género permitida)</t>
  </si>
  <si>
    <t>INGENIERO ELECTROMECÁNICO en la Especialidad de Instalaciones Mecánicas</t>
  </si>
  <si>
    <t>Especialista en Instalaciones Mecánicas y/o ... ingeniero en/de instalaciones eléctricas y electromecánicas... (etc.)</t>
  </si>
  <si>
    <t>NO CUMPLE (Contiene palabras adicionales: "en la Especialidad de")</t>
  </si>
  <si>
    <t>Especialista en Instalaciones Mecánicas y/o ... (etc.)</t>
  </si>
  <si>
    <t>Tiene fecha de término (27/03/2023)</t>
  </si>
  <si>
    <t>Ingeniera Electromecánico a cargo de la Especialidad de Instalaciones Eléctricas, Electromecánicas y Equipamiento Médico</t>
  </si>
  <si>
    <t>NO CUMPLE (Contiene múltiples palabras adicionales: "a cargo de la Especialidad de ... y Equipamiento Médico")</t>
  </si>
  <si>
    <t>Tiene fecha de término (31/05/2021)</t>
  </si>
  <si>
    <t>Especialista en Implementación de las Soluciones de la Tecnología de la Información</t>
  </si>
  <si>
    <t>Creación</t>
  </si>
  <si>
    <t>Especialista en Equipamiento Hospitalario</t>
  </si>
  <si>
    <t>INGENIERO CIVIL</t>
  </si>
  <si>
    <t>Especialista de Control de Calidad</t>
  </si>
  <si>
    <t>NO (Detalle adicional)</t>
  </si>
  <si>
    <t>Hospital Especializado Red Asistencial Cajamarca</t>
  </si>
  <si>
    <t>Establecimientos de Salud</t>
  </si>
  <si>
    <t>Salud</t>
  </si>
  <si>
    <t>No importa</t>
  </si>
  <si>
    <t>III-1</t>
  </si>
  <si>
    <t>Especialista de Control y Aseguramiento de Calidad</t>
  </si>
  <si>
    <t>Hospital de Tambobamba</t>
  </si>
  <si>
    <t>II-1</t>
  </si>
  <si>
    <t>Hospital de Apoyo Pichanaki</t>
  </si>
  <si>
    <t>Especialista de Control y Aseguramiento de la Calidad</t>
  </si>
  <si>
    <t>Hospital San Martin de Pangoa</t>
  </si>
  <si>
    <t>II-E</t>
  </si>
  <si>
    <t>Supervisor de Calidad II</t>
  </si>
  <si>
    <t>NO CUMPLE</t>
  </si>
  <si>
    <t>Hospital Regional Hermilio Valdizan</t>
  </si>
  <si>
    <t>Supervisor de Control de Calidad</t>
  </si>
  <si>
    <t>Hospital Miguel Angel Mariscal Llerena</t>
  </si>
  <si>
    <t>Josue Antonio Salazar Gutierrez</t>
  </si>
  <si>
    <t>Especialista de Seguridad y Medio Ambiente</t>
  </si>
  <si>
    <t xml:space="preserve">Especialista en Seguridad, Salud y Medio Ambiente </t>
  </si>
  <si>
    <t>Centro de Salud Illimo</t>
  </si>
  <si>
    <t>Recuperación</t>
  </si>
  <si>
    <t>I-4</t>
  </si>
  <si>
    <t>E.S. San Jose 1-2</t>
  </si>
  <si>
    <t xml:space="preserve">Especialista en Costos, Metrados y Valorizaciones </t>
  </si>
  <si>
    <t xml:space="preserve">Especialista en Metrados, Costos y Valorizaciones </t>
  </si>
  <si>
    <t>C.S. Campo Verde</t>
  </si>
  <si>
    <t xml:space="preserve">Especialista en Metrados, Costos y Presupuestos </t>
  </si>
  <si>
    <t>C.S. 1-4 Paimas</t>
  </si>
  <si>
    <t>Reconstrucción</t>
  </si>
  <si>
    <t>David Efrain Torres Maquera</t>
  </si>
  <si>
    <t>Modelador BIM</t>
  </si>
  <si>
    <t>Hospital San Martín de Pangoa</t>
  </si>
  <si>
    <t>Ingeniería Civil o Arquitectura</t>
  </si>
  <si>
    <t xml:space="preserve">Especialista BIM y/o Modelador BIM, y/o Ingeniero BIM (o sus combinaciones) </t>
  </si>
  <si>
    <t>MEJORAMIENTO DE LOS SERVICIOS DE SALUD DEL ESTABLECIMIENTO DE SALUD MOTUPE...</t>
  </si>
  <si>
    <t>Ejecución y/o supervisión de obras de Edificaciones y afines en Establecimientos de Salud</t>
  </si>
  <si>
    <t>Sí indica (31/07/2024)</t>
  </si>
  <si>
    <t>Edificaciones y afines (no limita intervención específica)</t>
  </si>
  <si>
    <t>RECONSTRUCCION DEL HOSPITAL DE APOYO SAUL GARRIDO ROSILLO II-1...</t>
  </si>
  <si>
    <t>Sí indica (16/12/2023)</t>
  </si>
  <si>
    <t>Sí indica (31/08/2023)</t>
  </si>
  <si>
    <t xml:space="preserve">MEJORAMIENTO DE LOS SERVICIOS DE SALUD DEL HOSPITAL DE APOYO PICHANAKI, TIPO II-1... </t>
  </si>
  <si>
    <t>Sí indica (15/02/2023)</t>
  </si>
  <si>
    <t>Sí indica (31/10/2022)</t>
  </si>
  <si>
    <t>MEJORAMIENTO DE LOS SERVICIOS DE SALUD EN EL HOSPITAL SAN MARTÍN DE PANGOA...</t>
  </si>
  <si>
    <t>Sí indica (30/11/2021)</t>
  </si>
  <si>
    <t>Sí indica (31/03/2021)</t>
  </si>
  <si>
    <t>Sí indica (31/01/2021)</t>
  </si>
  <si>
    <t>Especialista TIC</t>
  </si>
  <si>
    <t>INGENIERO ELECTRONICO Y TELECOMUNICACIONES</t>
  </si>
  <si>
    <t xml:space="preserve">Ing. Electrónica o Telecomunicaciones o Sistemas, etc. </t>
  </si>
  <si>
    <t>Especialista en Tecnología de la Información y Comunicación (o combinaciones exactas listadas)</t>
  </si>
  <si>
    <t>Mejoramiento de la capacidad resolutiva de los establecimientos de salud de la provincia de Chumbivilcas...</t>
  </si>
  <si>
    <t>Sí indica (12/03/2022)</t>
  </si>
  <si>
    <t>Mejoramiento e Instalación</t>
  </si>
  <si>
    <t xml:space="preserve">Especialista en comunicaciones, Ingeniero de telecomunicaciones, etc. </t>
  </si>
  <si>
    <t>NO CUMPLE (Contiene la palabra adicional "Especialista" intercalada que rompe la literalidad del cargo base)</t>
  </si>
  <si>
    <t xml:space="preserve">Supervisión de la Ejecución de la Obra "Mejoramiento de la Capacidad Resolutiva de los Servicios de Salud del Hospital Regional Hermilio Valdizán..." </t>
  </si>
  <si>
    <t>Sí indica (31/12/2018)</t>
  </si>
  <si>
    <t xml:space="preserve">Especialista en redes de cableado estructurado, especialista en comunicaciones, etc. </t>
  </si>
  <si>
    <t>NO CUMPLE (Contiene palabras y orden que difiere de la lista exacta de las bases)</t>
  </si>
  <si>
    <t>Ampliación y Mejoramiento de la Capacidad Resolutiva del Hospital de Apoyo San Martín de Porres de Macusani...</t>
  </si>
  <si>
    <t>Sí indica (31/07/2018)</t>
  </si>
  <si>
    <t>Ampliación y Mejoramiento</t>
  </si>
  <si>
    <t>Hover Perez Cruzalegui</t>
  </si>
  <si>
    <t>Especialista en Comunicaciones / Especialista en Tecnología de la Información</t>
  </si>
  <si>
    <t>Supervisión de la Obra "CREACIÓN DE LOS SERVICIOS DEL HOSPITAL ESPECIALIZADO EN LA RED ASISTENCIAL CAJAMARCA ESSALUD..."</t>
  </si>
  <si>
    <t>Obra en General / Obra Similar (Establecimientos de Salud)</t>
  </si>
  <si>
    <t>Salud (Hospital)</t>
  </si>
  <si>
    <t>Salud (Hospitales / Clínicas)</t>
  </si>
  <si>
    <t>Construcción, creación, mejoramiento, ampliación</t>
  </si>
  <si>
    <t>Especialista en Cableado Estructurado / Comunicaciones</t>
  </si>
  <si>
    <t>Supervisión de la elaboración del Expediente Técnico y Ejecución de la obra "Mejoramiento de los servicios de Salud en el Hospital de Tocache..."</t>
  </si>
  <si>
    <t>Juan Carlos Palma Ramirez</t>
  </si>
  <si>
    <t>Especialista en Equipamiento Biomédico / Equipamiento Hospitalario</t>
  </si>
  <si>
    <t>Obra: "MEJORAMIENTO DEL ACCESO A SERVICIOS DE SALUD DE SEGUNDO NIVEL DE ATENCION EN EL AMBITO DE INFLUENCIA DEL HOSPITAL MARIA AUXILIADORA..."</t>
  </si>
  <si>
    <t>NO VALE</t>
  </si>
  <si>
    <t>Supervisión de la ejecución de la obra: "MEJORAMIENTO DE LOS SERVICIOS DE SALUD EN EL HOSPITAL RIOJA..."</t>
  </si>
  <si>
    <t>NO CUMPLE (Tiene la palabra adicional "Ingeniero")</t>
  </si>
  <si>
    <t>Supervisión de la ejecución de la obra "MEJORAMIENTO DE LA CAPACIDAD RESOLUTIVA DE LOS SERVICIOS DE SALUD DEL HOSPITAL REGIONAL HERMILIO VALDIZAN..."</t>
  </si>
  <si>
    <t>COVID</t>
  </si>
  <si>
    <t>DNI 23857793</t>
  </si>
  <si>
    <t>Producto de un subcontrato</t>
  </si>
  <si>
    <t>13.53 meses (aprox.)</t>
  </si>
  <si>
    <t>CIP 53489</t>
  </si>
  <si>
    <t>10.40 meses</t>
  </si>
  <si>
    <t>Consorcio Supervisor INEN</t>
  </si>
  <si>
    <t>INCLUYE PERIODO COVID</t>
  </si>
  <si>
    <t>32.63 meses</t>
  </si>
  <si>
    <t>Asesores Técnicos Asociados S.A.</t>
  </si>
  <si>
    <t>10.50 meses</t>
  </si>
  <si>
    <t>Mejoramiento de la Prestación de los Servicios de Salud en el Centro de Salud I-4 Caballococha...</t>
  </si>
  <si>
    <t>13.37 meses</t>
  </si>
  <si>
    <t>Mejoramiento de los Servicios de Salud del Centro de Salud La Ramada...</t>
  </si>
  <si>
    <t>7.50 meses</t>
  </si>
  <si>
    <t>31/12/2024 (Aprox.)</t>
  </si>
  <si>
    <t>Mejoramiento y Ampliacion de los Servicios de Salud del Establecimiento de Salud Llata...</t>
  </si>
  <si>
    <t>AENOR PERU S.A.C</t>
  </si>
  <si>
    <t>19.10 meses</t>
  </si>
  <si>
    <t>No precisado en constancia</t>
  </si>
  <si>
    <t>36.93 meses</t>
  </si>
  <si>
    <t>Constancia de Prestacion de Servicios</t>
  </si>
  <si>
    <t>ARTHUR CHRISTOPHER TANDAZO RIVERA</t>
  </si>
  <si>
    <t>DNI 41581060 / CAP 13091</t>
  </si>
  <si>
    <t>CHINA RAILWAY NO.10 ENGINEERING GROUP CO., LTD SUCURSAL DEL PERU</t>
  </si>
  <si>
    <t>15.17 meses</t>
  </si>
  <si>
    <t>6.00 meses</t>
  </si>
  <si>
    <t>Anterior a 01/11/2022</t>
  </si>
  <si>
    <t>Mejoramiento de las Capacidades Resolutivas del Hospital de San Miguel, Segundo Nivel de Atención en la Provincia de La Mar, Región Ayacucho</t>
  </si>
  <si>
    <t>Especialista en Arquitectura Hospitalaria en la Supervisión</t>
  </si>
  <si>
    <t>19.77 meses</t>
  </si>
  <si>
    <t>MIGUEL ÁNGEL MORÁN PÉREZ</t>
  </si>
  <si>
    <t>Anterior a 01/09/2020</t>
  </si>
  <si>
    <t>MEJORAMIENTO DE LOS SERVICIOS DE SALUD DEL HOSPITAL DISTRITAL DE PACASMAYO</t>
  </si>
  <si>
    <t>IBT, LLC SUCURSAL DEL PERU</t>
  </si>
  <si>
    <t>28.37 meses</t>
  </si>
  <si>
    <t>REPRESENTANTE LEGAL</t>
  </si>
  <si>
    <t>Anterior a 03/05/2018</t>
  </si>
  <si>
    <t>JIMMY CHICOMA DE LA CRUZ HUAYANEY</t>
  </si>
  <si>
    <t>DNI 44728807 / CIP 203999</t>
  </si>
  <si>
    <t>No precisado</t>
  </si>
  <si>
    <t>19.97 meses</t>
  </si>
  <si>
    <t>CELESTE FLORES CARRILL</t>
  </si>
  <si>
    <t>REPRESENTANTE COMUN</t>
  </si>
  <si>
    <t>Anterior a 01/02/2024</t>
  </si>
  <si>
    <t>SUPERVISIÓN DE LA OBRA: CONSTRUCCIÓN DEL SALDO DE OBRA DEL HOSPITAL II-1 DE SAN IGNACIO</t>
  </si>
  <si>
    <t>15.20 meses</t>
  </si>
  <si>
    <t>Anterior a 25/08/2022</t>
  </si>
  <si>
    <t>23.87 meses</t>
  </si>
  <si>
    <t>Ing Jesús Augusto Malaga Poma</t>
  </si>
  <si>
    <t>SUB GERENTE DE OBRAS</t>
  </si>
  <si>
    <t>Anterior a 07/12/2018</t>
  </si>
  <si>
    <t>MEJORAMIENTO Y AMPLIACIÓN DE LOS SERVICIOS DE SALUD DEL ESTABLECIMIENTO DE SALUD LA LIBERTAD CENTRO POBLADO DE HUANCAYO - DISTRITO DE HUANCAYO-PROVINCIA DE HUANCAYO-REGIÓN JUNÍN</t>
  </si>
  <si>
    <t>26 meses, 27 días</t>
  </si>
  <si>
    <t>Constancia de prestación de servicios profesionales</t>
  </si>
  <si>
    <t>MEJORAMIENTO DE LOS SERVICIOS DE SALUD DEL HOSPITAL ESPINAR, DISTRITO Y PROVINCIA DE ESPINAR, DEPARTAMENTO CUSCO, CODIGO DE PROYECTO 2335179 (SNIP 374288)</t>
  </si>
  <si>
    <t>16 meses</t>
  </si>
  <si>
    <t>Certificado de servicios profesionales</t>
  </si>
  <si>
    <t>MEJORAMIENTO DEL ACCESO A SERVICIOS DE SALUD DE SEGUNDO NIVEL DE ATENCION EN EL AMBITO DE INFLUENCIA DEL HOSPITAL MARIA AUXILIADORA DE LA PROVINCIA DE RODRIGUEZ DE MENDOZA REGION AMAZONAS</t>
  </si>
  <si>
    <t>JEFE DE RECURSOS HUMANOS</t>
  </si>
  <si>
    <t>Constancia de trabajo</t>
  </si>
  <si>
    <t>MEJORAMIENTO DEL SERVICIO DEL CENTRO DE SALUD DE QUILMANÁ DEL DISTRITO DE QUILMANÁ, PROVINCIA DE CAÑETE, REGIÓN LIMA</t>
  </si>
  <si>
    <t>17 meses</t>
  </si>
  <si>
    <t>Certificado de trabajo</t>
  </si>
  <si>
    <t>Mejoramiento de los Servicios de Salud del Hospital de Salud II-1 Tocache, Provincia de Tocache - Región San Martin</t>
  </si>
  <si>
    <t>CONSTRUCCION Y ADMINISTRACIÓN S.A - SEDE TOCACHE</t>
  </si>
  <si>
    <t>S/D</t>
  </si>
  <si>
    <t>13 meses</t>
  </si>
  <si>
    <t>Mejoramiento de los Servicios de Salud del Hospital II-1 Santa Gema de Yurimaguas, Distrito de Yurimaguas, Provincia de Alto Amazonas, Región Loreto</t>
  </si>
  <si>
    <t>Ejecución de la Obra del Nuevo Local del Hospital Nuestra Señora de las Mercedes, II Nivel de Atención, 5º Nivel de Complejidad, Tipo II-1</t>
  </si>
  <si>
    <t>11 meses</t>
  </si>
  <si>
    <t>Ing. Marco A. Tong Pizango</t>
  </si>
  <si>
    <t>MEJORAMIENTO Y AMPLIACIÓN DE LOS SERVICIOS DE SALUD DEL HOSPITAL DE APOYO DE POMABAMBA ANTONIO CALDAS DOMÍNGUEZ, BARRIO DE HUAJTACHACRA, DISTRITO Y PROVINCIA DE POMABAMBA, DEPARTAMENTO DE ANCASH</t>
  </si>
  <si>
    <t>MEJORAMIENTO DE LA CAPACIDAD RESOLUTIVA DE LA UNIDAD PRODUCTORA DE LOS SERVICIOS DE SALUD DEL HOSPITAL CORACORA - DISTRITO DE CORACORA - PROVINCIA DE PARINACOCHAS, REGIÓN AYACUCHO</t>
  </si>
  <si>
    <t>20 meses</t>
  </si>
  <si>
    <t>Certificado de prestación de servicios profesionales</t>
  </si>
  <si>
    <t>MEJORAMIENTO DE LOS SERVICIOS DE SALUD EN EL ESTABLECIMIENTO DEL CENTRO DE SALUD I-4 DE PICOTA, PROVINCIA DE PICOTA, SAN MARTIN</t>
  </si>
  <si>
    <t>Dueño del contrato / integrante consorcio</t>
  </si>
  <si>
    <t>ING EDUARDO SANCHEZ BERNAL</t>
  </si>
  <si>
    <t>DNI 10154180 / CIP 118962</t>
  </si>
  <si>
    <t>Supervisión de la Obra "CREACIÓN DE LOS SERVICIOS DEL HOSPITAL ESPECIALIZADO EN LA RED ASISTENCIAL CAJAMARCA ESSALUD, DISTRITO DE CAJAMARCA, PROVINCIA DE CAJAMARCA, DEPARTAMENTO DE CAJAMARCA"</t>
  </si>
  <si>
    <t>CONSORCIO HOSPITALARIO SAN JUAN</t>
  </si>
  <si>
    <t>No disponible</t>
  </si>
  <si>
    <t>30.87 MESES</t>
  </si>
  <si>
    <t>ING. JUAN JOSÉ GARCÍA GONZALES</t>
  </si>
  <si>
    <t>Supervisión de la elaboración del Expediente Técnico y Ejecución de la obra "Mejoramiento de los servicios de Salud en el Hospital de Tocache. Provincia de Tocache - Región de San Martin"</t>
  </si>
  <si>
    <t>23.53 MESES</t>
  </si>
  <si>
    <t>DNI 09582482 / CIP 63905</t>
  </si>
  <si>
    <t>64.43 MESES</t>
  </si>
  <si>
    <t>MEJORAMIENTO DE LOS SERVICIOS DE SALUD EN EL HOSPITAL RIOJA - PROVINCIA DE RIOJA - REGIÓN SAN MARTIN</t>
  </si>
  <si>
    <t>CONSORCIO SUPERVISOR HOSPITAL RIOJA</t>
  </si>
  <si>
    <t>7.97 MESES</t>
  </si>
  <si>
    <t>ING GESSEN DIAZ ESPINOZA</t>
  </si>
  <si>
    <t>MEJORAMIENTO DE LA CAPACIDAD RESOLUTIVA DE LOS SERVICIOS DE SALUD DEL HOSPITAL REGIONAL HERMILIO VALDIZAN DE HUANUCO NIVEL III-1</t>
  </si>
  <si>
    <t>32.77 MESES</t>
  </si>
  <si>
    <t>Alberto Saldaña Panduro / Ing. Jorge Zevallos Huaranga</t>
  </si>
  <si>
    <t>Director General de Administración / Gerente Supervisión</t>
  </si>
  <si>
    <t>DNI 46474677CIP 162856</t>
  </si>
  <si>
    <t>Creación de los servicios de salud del Hospital Especializado en la Red Asistencial Cajamarca - EsSalud...</t>
  </si>
  <si>
    <t>Sinohydro Corporation Limited Sucursal del Perú</t>
  </si>
  <si>
    <t>5.80 meses</t>
  </si>
  <si>
    <t>Huang Huayi</t>
  </si>
  <si>
    <t>Apoderado / Representante</t>
  </si>
  <si>
    <t>Mejoramiento de los servicios de salud del Hospital de Tambobamba, Provincia de Cotabambas, Departamento de Apurímac...</t>
  </si>
  <si>
    <t>China Gezhouba Group Company Limited Sucursal Peru</t>
  </si>
  <si>
    <t>3.97 meses</t>
  </si>
  <si>
    <t>Empleador / Representante</t>
  </si>
  <si>
    <t>Mejoramiento de los servicios de salud del Hospital de Apoyo Pichanaki, Tipo II-1, ubicado en el distrito de Pichanaki...</t>
  </si>
  <si>
    <t>13.27 meses</t>
  </si>
  <si>
    <t>Mejoramiento de los servicios de salud en el Hospital San Martin de Pangoa, distrito de Pangoa, provincia de Satipo, Junín...</t>
  </si>
  <si>
    <t>China CAMCE Engineering Co., LTD. Sucursal Peru</t>
  </si>
  <si>
    <t>8.27 meses</t>
  </si>
  <si>
    <t>Chen Zhuoran</t>
  </si>
  <si>
    <t>Mejoramiento de la Capacidad Resolutiva de los Servicios de Salud del Hospital Regional Hermilio Valdizan de Huánuco, Nivel III-1</t>
  </si>
  <si>
    <t>Obrainsa</t>
  </si>
  <si>
    <t>12.90 meses</t>
  </si>
  <si>
    <t>No precisa</t>
  </si>
  <si>
    <t>Mejoramiento de la Capacidad Resolutiva del Hospital Regional Miguel Angel Mariscal Llerena de Ayacucho</t>
  </si>
  <si>
    <t>Ingenieros Civiles y Contratistas Generales S.A. (ICCGSA)</t>
  </si>
  <si>
    <t>23.90 meses</t>
  </si>
  <si>
    <t>Javier Jordan Morales</t>
  </si>
  <si>
    <t>DNI 44229220CIP 200080</t>
  </si>
  <si>
    <t>Recuperación de los servicios de salud del Centro de Salud Illimo, distrito de Illimo, provincia de Lambayeque</t>
  </si>
  <si>
    <t>Consorcio Supervisor Illimo</t>
  </si>
  <si>
    <t>29.40 meses</t>
  </si>
  <si>
    <t>Recuperación de los servicios de salud del establecimiento de salud San Jose 1-2, Distrito de San Jose...</t>
  </si>
  <si>
    <t>Cesar Fernando Tapia Julca</t>
  </si>
  <si>
    <t>10.60 meses</t>
  </si>
  <si>
    <t>DNI 44769503CIP 210428</t>
  </si>
  <si>
    <t>Reconstruccion del Centro de Salud I-4 Paimas, Distrito de Paimas, Provincia de Ayabaca, Departamento de Piura</t>
  </si>
  <si>
    <t>Especialista en Metrados, Costos y Presupuestos</t>
  </si>
  <si>
    <t>Consorcio Supervisor Paimas</t>
  </si>
  <si>
    <t>39.06 meses</t>
  </si>
  <si>
    <t>Constancia de Servicio</t>
  </si>
  <si>
    <t>Mejoramiento de los servicios de salud del Centro de Salud Campo Verde, del distrito de Campo Verde, provincia de Coronel Portillo...</t>
  </si>
  <si>
    <t>Especialista en Costos, Metrados y Valorizaciones</t>
  </si>
  <si>
    <t>Consorcio Supervisor Campo Verde</t>
  </si>
  <si>
    <t>25.90 meses</t>
  </si>
  <si>
    <t>71216374 / 207190</t>
  </si>
  <si>
    <t>Mejoramiento de los Servicios de Salud del Establecimiento de Salud Motupe...</t>
  </si>
  <si>
    <t>6.93 meses</t>
  </si>
  <si>
    <t>Reconstrucción del Hospital de Apoyo Saul Garrido Rosillo II-1...</t>
  </si>
  <si>
    <t>China Gezhouba Group Company Limited Sucursal Perú</t>
  </si>
  <si>
    <t>3.53 meses</t>
  </si>
  <si>
    <t>Li Wenxue</t>
  </si>
  <si>
    <t>2.03 meses</t>
  </si>
  <si>
    <t>Mejoramiento de los Servicios de Salud del Hospital de Apoyo Pichanaki...</t>
  </si>
  <si>
    <t>Certificado de Prestación de Servicios</t>
  </si>
  <si>
    <t>9.57 meses</t>
  </si>
  <si>
    <t>Yang Zhaoguo</t>
  </si>
  <si>
    <t>Mejoramiento de los Servicios de Salud en el Hospital San Martín de Pangoa...</t>
  </si>
  <si>
    <t>China CAMC Engineering Co., Ltd. Sucursal Peru</t>
  </si>
  <si>
    <t>8.10 meses</t>
  </si>
  <si>
    <t>1.93 meses</t>
  </si>
  <si>
    <t>Zhao Guangyu</t>
  </si>
  <si>
    <t>2.60 meses</t>
  </si>
  <si>
    <t>02846959 / 121492</t>
  </si>
  <si>
    <t>Technology HGS S.A.C.</t>
  </si>
  <si>
    <t>11.27 meses</t>
  </si>
  <si>
    <t>Cristian Fernando Sanchez Cava</t>
  </si>
  <si>
    <t>Mejoramiento de la Capacidad Resolutiva de los Servicios de Salud del Hospital Regional Hermilio Valdizán de Huánuco, Nivel III-1</t>
  </si>
  <si>
    <t>Universidad Nacional Hermilio Valdizan / Gobierno Regional de Huánuco</t>
  </si>
  <si>
    <t>Certificado de dueño del contrato</t>
  </si>
  <si>
    <t>4.03 meses</t>
  </si>
  <si>
    <t>Jorge Zevallos Huaranga</t>
  </si>
  <si>
    <t>Gerente Supervisión</t>
  </si>
  <si>
    <t>21.00 meses</t>
  </si>
  <si>
    <t>Cristian Fernando Sánchez Cava</t>
  </si>
  <si>
    <t>NO VALIDEZ DEL QUE 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</si>
</sst>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/mm/yyyy;@"/>
    <numFmt numFmtId="165" formatCode="_-* #,##0.000_-;\-* #,##0.000_-;_-* &quot;-&quot;??_-;_-@_-"/>
    <numFmt numFmtId="166" formatCode="#,##0.000_ ;\-#,##0.000\ 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</fills>
  <borders count="2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/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theme="0"/>
      </right>
      <top style="medium">
        <color rgb="FFCCCCCC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rgb="FFCCCCCC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thick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1"/>
      </top>
      <bottom style="medium">
        <color theme="0"/>
      </bottom>
      <diagonal/>
    </border>
    <border>
      <left style="medium">
        <color theme="0"/>
      </left>
      <right/>
      <top style="medium">
        <color rgb="FFCCCCCC"/>
      </top>
      <bottom style="medium">
        <color theme="0"/>
      </bottom>
      <diagonal/>
    </border>
    <border>
      <left style="medium">
        <color rgb="FFCCCCCC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10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2" fontId="3" fillId="5" borderId="1" xfId="0" applyNumberFormat="1" applyFont="1" applyFill="1" applyBorder="1" applyAlignment="1">
      <alignment vertical="center" wrapText="1"/>
    </xf>
    <xf numFmtId="2" fontId="3" fillId="10" borderId="1" xfId="0" applyNumberFormat="1" applyFont="1" applyFill="1" applyBorder="1" applyAlignment="1">
      <alignment vertical="center" wrapText="1"/>
    </xf>
    <xf numFmtId="2" fontId="3" fillId="7" borderId="1" xfId="0" applyNumberFormat="1" applyFont="1" applyFill="1" applyBorder="1" applyAlignment="1">
      <alignment vertical="center" wrapText="1"/>
    </xf>
    <xf numFmtId="2" fontId="3" fillId="6" borderId="1" xfId="0" applyNumberFormat="1" applyFont="1" applyFill="1" applyBorder="1" applyAlignment="1">
      <alignment vertical="center" wrapText="1"/>
    </xf>
    <xf numFmtId="2" fontId="3" fillId="2" borderId="1" xfId="0" applyNumberFormat="1" applyFont="1" applyFill="1" applyBorder="1" applyAlignment="1">
      <alignment vertical="center" wrapText="1"/>
    </xf>
    <xf numFmtId="2" fontId="3" fillId="8" borderId="1" xfId="0" applyNumberFormat="1" applyFont="1" applyFill="1" applyBorder="1" applyAlignment="1">
      <alignment vertical="center" wrapText="1"/>
    </xf>
    <xf numFmtId="2" fontId="3" fillId="5" borderId="1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Alignment="1">
      <alignment vertical="center" wrapText="1"/>
    </xf>
    <xf numFmtId="2" fontId="3" fillId="10" borderId="1" xfId="0" applyNumberFormat="1" applyFont="1" applyFill="1" applyBorder="1" applyAlignment="1">
      <alignment horizontal="center" vertical="center" wrapText="1"/>
    </xf>
    <xf numFmtId="2" fontId="3" fillId="7" borderId="1" xfId="0" applyNumberFormat="1" applyFont="1" applyFill="1" applyBorder="1" applyAlignment="1">
      <alignment horizontal="center" vertical="center" wrapText="1"/>
    </xf>
    <xf numFmtId="2" fontId="3" fillId="6" borderId="1" xfId="0" applyNumberFormat="1" applyFont="1" applyFill="1" applyBorder="1" applyAlignment="1">
      <alignment horizontal="center" vertical="center" wrapText="1"/>
    </xf>
    <xf numFmtId="2" fontId="3" fillId="8" borderId="1" xfId="0" applyNumberFormat="1" applyFont="1" applyFill="1" applyBorder="1" applyAlignment="1">
      <alignment horizontal="center" vertical="center" wrapText="1"/>
    </xf>
    <xf numFmtId="2" fontId="3" fillId="5" borderId="4" xfId="0" applyNumberFormat="1" applyFont="1" applyFill="1" applyBorder="1" applyAlignment="1">
      <alignment horizontal="center" vertical="center" wrapText="1"/>
    </xf>
    <xf numFmtId="2" fontId="3" fillId="5" borderId="8" xfId="0" applyNumberFormat="1" applyFont="1" applyFill="1" applyBorder="1" applyAlignment="1">
      <alignment horizontal="center" vertical="center" wrapText="1"/>
    </xf>
    <xf numFmtId="2" fontId="3" fillId="5" borderId="9" xfId="0" applyNumberFormat="1" applyFont="1" applyFill="1" applyBorder="1" applyAlignment="1">
      <alignment horizontal="center" vertical="center" wrapText="1"/>
    </xf>
    <xf numFmtId="2" fontId="3" fillId="5" borderId="3" xfId="0" applyNumberFormat="1" applyFont="1" applyFill="1" applyBorder="1" applyAlignment="1">
      <alignment horizontal="center" vertical="center" wrapText="1"/>
    </xf>
    <xf numFmtId="2" fontId="4" fillId="5" borderId="11" xfId="0" applyNumberFormat="1" applyFont="1" applyFill="1" applyBorder="1" applyAlignment="1">
      <alignment vertical="center" wrapText="1"/>
    </xf>
    <xf numFmtId="2" fontId="3" fillId="10" borderId="4" xfId="0" applyNumberFormat="1" applyFont="1" applyFill="1" applyBorder="1" applyAlignment="1">
      <alignment horizontal="center" vertical="center" wrapText="1"/>
    </xf>
    <xf numFmtId="2" fontId="3" fillId="10" borderId="8" xfId="0" applyNumberFormat="1" applyFont="1" applyFill="1" applyBorder="1" applyAlignment="1">
      <alignment horizontal="center" vertical="center" wrapText="1"/>
    </xf>
    <xf numFmtId="2" fontId="3" fillId="10" borderId="9" xfId="0" applyNumberFormat="1" applyFont="1" applyFill="1" applyBorder="1" applyAlignment="1">
      <alignment horizontal="center" vertical="center" wrapText="1"/>
    </xf>
    <xf numFmtId="2" fontId="3" fillId="10" borderId="3" xfId="0" applyNumberFormat="1" applyFont="1" applyFill="1" applyBorder="1" applyAlignment="1">
      <alignment horizontal="center" vertical="center" wrapText="1"/>
    </xf>
    <xf numFmtId="2" fontId="4" fillId="10" borderId="11" xfId="0" applyNumberFormat="1" applyFont="1" applyFill="1" applyBorder="1" applyAlignment="1">
      <alignment vertical="center" wrapText="1"/>
    </xf>
    <xf numFmtId="2" fontId="3" fillId="7" borderId="4" xfId="0" applyNumberFormat="1" applyFont="1" applyFill="1" applyBorder="1" applyAlignment="1">
      <alignment horizontal="center" vertical="center" wrapText="1"/>
    </xf>
    <xf numFmtId="2" fontId="3" fillId="7" borderId="8" xfId="0" applyNumberFormat="1" applyFont="1" applyFill="1" applyBorder="1" applyAlignment="1">
      <alignment horizontal="center" vertical="center" wrapText="1"/>
    </xf>
    <xf numFmtId="2" fontId="3" fillId="7" borderId="9" xfId="0" applyNumberFormat="1" applyFont="1" applyFill="1" applyBorder="1" applyAlignment="1">
      <alignment horizontal="center" vertical="center" wrapText="1"/>
    </xf>
    <xf numFmtId="2" fontId="3" fillId="7" borderId="3" xfId="0" applyNumberFormat="1" applyFont="1" applyFill="1" applyBorder="1" applyAlignment="1">
      <alignment horizontal="center" vertical="center" wrapText="1"/>
    </xf>
    <xf numFmtId="2" fontId="4" fillId="7" borderId="11" xfId="0" applyNumberFormat="1" applyFont="1" applyFill="1" applyBorder="1" applyAlignment="1">
      <alignment vertical="center" wrapText="1"/>
    </xf>
    <xf numFmtId="2" fontId="3" fillId="6" borderId="4" xfId="0" applyNumberFormat="1" applyFont="1" applyFill="1" applyBorder="1" applyAlignment="1">
      <alignment horizontal="center" vertical="center" wrapText="1"/>
    </xf>
    <xf numFmtId="2" fontId="3" fillId="6" borderId="8" xfId="0" applyNumberFormat="1" applyFont="1" applyFill="1" applyBorder="1" applyAlignment="1">
      <alignment horizontal="center" vertical="center" wrapText="1"/>
    </xf>
    <xf numFmtId="2" fontId="3" fillId="6" borderId="9" xfId="0" applyNumberFormat="1" applyFont="1" applyFill="1" applyBorder="1" applyAlignment="1">
      <alignment horizontal="center" vertical="center" wrapText="1"/>
    </xf>
    <xf numFmtId="2" fontId="3" fillId="6" borderId="3" xfId="0" applyNumberFormat="1" applyFont="1" applyFill="1" applyBorder="1" applyAlignment="1">
      <alignment horizontal="center" vertical="center" wrapText="1"/>
    </xf>
    <xf numFmtId="2" fontId="4" fillId="6" borderId="11" xfId="0" applyNumberFormat="1" applyFont="1" applyFill="1" applyBorder="1" applyAlignment="1">
      <alignment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3" fillId="2" borderId="8" xfId="0" applyNumberFormat="1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2" fontId="3" fillId="2" borderId="3" xfId="0" applyNumberFormat="1" applyFont="1" applyFill="1" applyBorder="1" applyAlignment="1">
      <alignment horizontal="center" vertical="center" wrapText="1"/>
    </xf>
    <xf numFmtId="2" fontId="4" fillId="2" borderId="11" xfId="0" applyNumberFormat="1" applyFont="1" applyFill="1" applyBorder="1" applyAlignment="1">
      <alignment vertical="center" wrapText="1"/>
    </xf>
    <xf numFmtId="2" fontId="3" fillId="8" borderId="4" xfId="0" applyNumberFormat="1" applyFont="1" applyFill="1" applyBorder="1" applyAlignment="1">
      <alignment horizontal="center" vertical="center" wrapText="1"/>
    </xf>
    <xf numFmtId="2" fontId="3" fillId="8" borderId="8" xfId="0" applyNumberFormat="1" applyFont="1" applyFill="1" applyBorder="1" applyAlignment="1">
      <alignment horizontal="center" vertical="center" wrapText="1"/>
    </xf>
    <xf numFmtId="2" fontId="3" fillId="8" borderId="9" xfId="0" applyNumberFormat="1" applyFont="1" applyFill="1" applyBorder="1" applyAlignment="1">
      <alignment horizontal="center" vertical="center" wrapText="1"/>
    </xf>
    <xf numFmtId="2" fontId="3" fillId="8" borderId="3" xfId="0" applyNumberFormat="1" applyFont="1" applyFill="1" applyBorder="1" applyAlignment="1">
      <alignment horizontal="center" vertical="center" wrapText="1"/>
    </xf>
    <xf numFmtId="2" fontId="4" fillId="8" borderId="11" xfId="0" applyNumberFormat="1" applyFont="1" applyFill="1" applyBorder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Border="1" applyAlignment="1">
      <alignment horizontal="center" vertical="center" wrapText="1"/>
    </xf>
    <xf numFmtId="2" fontId="3" fillId="5" borderId="11" xfId="0" applyNumberFormat="1" applyFont="1" applyFill="1" applyBorder="1" applyAlignment="1">
      <alignment horizontal="center" vertical="center" wrapText="1"/>
    </xf>
    <xf numFmtId="2" fontId="3" fillId="10" borderId="11" xfId="0" applyNumberFormat="1" applyFont="1" applyFill="1" applyBorder="1" applyAlignment="1">
      <alignment horizontal="center" vertical="center" wrapText="1"/>
    </xf>
    <xf numFmtId="2" fontId="3" fillId="7" borderId="11" xfId="0" applyNumberFormat="1" applyFont="1" applyFill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2" fontId="3" fillId="8" borderId="11" xfId="0" applyNumberFormat="1" applyFont="1" applyFill="1" applyBorder="1" applyAlignment="1">
      <alignment horizontal="center" vertical="center" wrapText="1"/>
    </xf>
    <xf numFmtId="2" fontId="3" fillId="6" borderId="1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vertical="center" wrapText="1"/>
    </xf>
    <xf numFmtId="2" fontId="4" fillId="0" borderId="0" xfId="0" applyNumberFormat="1" applyFont="1" applyFill="1" applyAlignment="1">
      <alignment vertical="center" wrapText="1"/>
    </xf>
    <xf numFmtId="2" fontId="4" fillId="0" borderId="11" xfId="0" applyNumberFormat="1" applyFont="1" applyFill="1" applyBorder="1" applyAlignment="1">
      <alignment vertical="center" wrapText="1"/>
    </xf>
    <xf numFmtId="2" fontId="2" fillId="10" borderId="9" xfId="0" applyNumberFormat="1" applyFont="1" applyFill="1" applyBorder="1" applyAlignment="1">
      <alignment horizontal="center" vertical="center" wrapText="1"/>
    </xf>
    <xf numFmtId="2" fontId="3" fillId="12" borderId="1" xfId="0" applyNumberFormat="1" applyFont="1" applyFill="1" applyBorder="1" applyAlignment="1">
      <alignment vertical="center" wrapText="1"/>
    </xf>
    <xf numFmtId="2" fontId="3" fillId="12" borderId="1" xfId="0" applyNumberFormat="1" applyFont="1" applyFill="1" applyBorder="1" applyAlignment="1">
      <alignment horizontal="center" vertical="center" wrapText="1"/>
    </xf>
    <xf numFmtId="2" fontId="3" fillId="12" borderId="4" xfId="0" applyNumberFormat="1" applyFont="1" applyFill="1" applyBorder="1" applyAlignment="1">
      <alignment horizontal="center" vertical="center" wrapText="1"/>
    </xf>
    <xf numFmtId="2" fontId="3" fillId="12" borderId="11" xfId="0" applyNumberFormat="1" applyFont="1" applyFill="1" applyBorder="1" applyAlignment="1">
      <alignment horizontal="center" vertical="center" wrapText="1"/>
    </xf>
    <xf numFmtId="2" fontId="3" fillId="12" borderId="8" xfId="0" applyNumberFormat="1" applyFont="1" applyFill="1" applyBorder="1" applyAlignment="1">
      <alignment horizontal="center" vertical="center" wrapText="1"/>
    </xf>
    <xf numFmtId="2" fontId="3" fillId="12" borderId="9" xfId="0" applyNumberFormat="1" applyFont="1" applyFill="1" applyBorder="1" applyAlignment="1">
      <alignment horizontal="center" vertical="center" wrapText="1"/>
    </xf>
    <xf numFmtId="2" fontId="3" fillId="12" borderId="3" xfId="0" applyNumberFormat="1" applyFont="1" applyFill="1" applyBorder="1" applyAlignment="1">
      <alignment horizontal="center" vertical="center" wrapText="1"/>
    </xf>
    <xf numFmtId="2" fontId="4" fillId="12" borderId="11" xfId="0" applyNumberFormat="1" applyFont="1" applyFill="1" applyBorder="1" applyAlignment="1">
      <alignment vertical="center" wrapText="1"/>
    </xf>
    <xf numFmtId="2" fontId="3" fillId="5" borderId="3" xfId="0" applyNumberFormat="1" applyFont="1" applyFill="1" applyBorder="1" applyAlignment="1">
      <alignment vertical="center" wrapText="1"/>
    </xf>
    <xf numFmtId="2" fontId="3" fillId="10" borderId="3" xfId="0" applyNumberFormat="1" applyFont="1" applyFill="1" applyBorder="1" applyAlignment="1">
      <alignment vertical="center" wrapText="1"/>
    </xf>
    <xf numFmtId="2" fontId="3" fillId="7" borderId="3" xfId="0" applyNumberFormat="1" applyFont="1" applyFill="1" applyBorder="1" applyAlignment="1">
      <alignment vertical="center" wrapText="1"/>
    </xf>
    <xf numFmtId="2" fontId="3" fillId="2" borderId="3" xfId="0" applyNumberFormat="1" applyFont="1" applyFill="1" applyBorder="1" applyAlignment="1">
      <alignment vertical="center" wrapText="1"/>
    </xf>
    <xf numFmtId="2" fontId="3" fillId="8" borderId="3" xfId="0" applyNumberFormat="1" applyFont="1" applyFill="1" applyBorder="1" applyAlignment="1">
      <alignment vertical="center" wrapText="1"/>
    </xf>
    <xf numFmtId="2" fontId="3" fillId="6" borderId="3" xfId="0" applyNumberFormat="1" applyFont="1" applyFill="1" applyBorder="1" applyAlignment="1">
      <alignment vertical="center" wrapText="1"/>
    </xf>
    <xf numFmtId="2" fontId="3" fillId="12" borderId="3" xfId="0" applyNumberFormat="1" applyFont="1" applyFill="1" applyBorder="1" applyAlignment="1">
      <alignment vertical="center" wrapText="1"/>
    </xf>
    <xf numFmtId="2" fontId="2" fillId="8" borderId="9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2" fontId="2" fillId="5" borderId="9" xfId="0" applyNumberFormat="1" applyFont="1" applyFill="1" applyBorder="1" applyAlignment="1">
      <alignment horizontal="center" vertical="center" wrapText="1"/>
    </xf>
    <xf numFmtId="2" fontId="2" fillId="6" borderId="9" xfId="0" applyNumberFormat="1" applyFont="1" applyFill="1" applyBorder="1" applyAlignment="1">
      <alignment horizontal="center" vertical="center" wrapText="1"/>
    </xf>
    <xf numFmtId="2" fontId="2" fillId="12" borderId="9" xfId="0" applyNumberFormat="1" applyFont="1" applyFill="1" applyBorder="1" applyAlignment="1">
      <alignment horizontal="center" vertical="center" wrapText="1"/>
    </xf>
    <xf numFmtId="2" fontId="2" fillId="8" borderId="8" xfId="0" applyNumberFormat="1" applyFont="1" applyFill="1" applyBorder="1" applyAlignment="1">
      <alignment horizontal="center" vertical="center" wrapText="1"/>
    </xf>
    <xf numFmtId="2" fontId="4" fillId="5" borderId="0" xfId="0" applyNumberFormat="1" applyFont="1" applyFill="1" applyAlignment="1">
      <alignment vertical="center" wrapText="1"/>
    </xf>
    <xf numFmtId="2" fontId="4" fillId="5" borderId="0" xfId="0" applyNumberFormat="1" applyFont="1" applyFill="1" applyAlignment="1">
      <alignment horizontal="center" vertical="center" wrapText="1"/>
    </xf>
    <xf numFmtId="2" fontId="4" fillId="7" borderId="0" xfId="0" applyNumberFormat="1" applyFont="1" applyFill="1" applyAlignment="1">
      <alignment vertical="center" wrapText="1"/>
    </xf>
    <xf numFmtId="2" fontId="4" fillId="7" borderId="0" xfId="0" applyNumberFormat="1" applyFont="1" applyFill="1" applyAlignment="1">
      <alignment horizontal="center" vertical="center" wrapText="1"/>
    </xf>
    <xf numFmtId="2" fontId="4" fillId="13" borderId="0" xfId="0" applyNumberFormat="1" applyFont="1" applyFill="1" applyAlignment="1">
      <alignment vertical="center" wrapText="1"/>
    </xf>
    <xf numFmtId="2" fontId="4" fillId="13" borderId="0" xfId="0" applyNumberFormat="1" applyFont="1" applyFill="1" applyAlignment="1">
      <alignment horizontal="center" vertical="center" wrapText="1"/>
    </xf>
    <xf numFmtId="2" fontId="4" fillId="14" borderId="0" xfId="0" applyNumberFormat="1" applyFont="1" applyFill="1" applyAlignment="1">
      <alignment vertical="center" wrapText="1"/>
    </xf>
    <xf numFmtId="2" fontId="4" fillId="14" borderId="0" xfId="0" applyNumberFormat="1" applyFont="1" applyFill="1" applyAlignment="1">
      <alignment horizontal="center" vertical="center" wrapText="1"/>
    </xf>
    <xf numFmtId="2" fontId="3" fillId="0" borderId="0" xfId="0" applyNumberFormat="1" applyFont="1" applyFill="1" applyBorder="1" applyAlignment="1">
      <alignment vertical="center" wrapText="1"/>
    </xf>
    <xf numFmtId="2" fontId="4" fillId="0" borderId="0" xfId="0" applyNumberFormat="1" applyFont="1" applyFill="1" applyBorder="1" applyAlignment="1">
      <alignment vertical="center" wrapText="1"/>
    </xf>
    <xf numFmtId="2" fontId="3" fillId="3" borderId="0" xfId="0" applyNumberFormat="1" applyFont="1" applyFill="1" applyBorder="1" applyAlignment="1">
      <alignment vertical="center" wrapText="1"/>
    </xf>
    <xf numFmtId="2" fontId="3" fillId="3" borderId="0" xfId="0" applyNumberFormat="1" applyFont="1" applyFill="1" applyBorder="1" applyAlignment="1">
      <alignment horizontal="center" vertical="center" wrapText="1"/>
    </xf>
    <xf numFmtId="2" fontId="2" fillId="3" borderId="0" xfId="0" applyNumberFormat="1" applyFont="1" applyFill="1" applyBorder="1" applyAlignment="1">
      <alignment horizontal="center" vertical="center" wrapText="1"/>
    </xf>
    <xf numFmtId="2" fontId="4" fillId="3" borderId="0" xfId="0" applyNumberFormat="1" applyFont="1" applyFill="1" applyBorder="1" applyAlignment="1">
      <alignment vertical="center" wrapText="1"/>
    </xf>
    <xf numFmtId="2" fontId="3" fillId="15" borderId="0" xfId="0" applyNumberFormat="1" applyFont="1" applyFill="1" applyBorder="1" applyAlignment="1">
      <alignment vertical="center" wrapText="1"/>
    </xf>
    <xf numFmtId="2" fontId="3" fillId="15" borderId="0" xfId="0" applyNumberFormat="1" applyFont="1" applyFill="1" applyBorder="1" applyAlignment="1">
      <alignment horizontal="center" vertical="center" wrapText="1"/>
    </xf>
    <xf numFmtId="2" fontId="2" fillId="15" borderId="0" xfId="0" applyNumberFormat="1" applyFont="1" applyFill="1" applyBorder="1" applyAlignment="1">
      <alignment horizontal="center" vertical="center" wrapText="1"/>
    </xf>
    <xf numFmtId="2" fontId="4" fillId="15" borderId="0" xfId="0" applyNumberFormat="1" applyFont="1" applyFill="1" applyBorder="1" applyAlignment="1">
      <alignment vertical="center" wrapText="1"/>
    </xf>
    <xf numFmtId="2" fontId="4" fillId="16" borderId="0" xfId="0" applyNumberFormat="1" applyFont="1" applyFill="1" applyAlignment="1">
      <alignment vertical="center" wrapText="1"/>
    </xf>
    <xf numFmtId="2" fontId="4" fillId="16" borderId="0" xfId="0" applyNumberFormat="1" applyFont="1" applyFill="1" applyAlignment="1">
      <alignment horizontal="center" vertical="center" wrapText="1"/>
    </xf>
    <xf numFmtId="2" fontId="4" fillId="15" borderId="0" xfId="0" applyNumberFormat="1" applyFont="1" applyFill="1" applyAlignment="1">
      <alignment vertical="center" wrapText="1"/>
    </xf>
    <xf numFmtId="2" fontId="4" fillId="15" borderId="0" xfId="0" applyNumberFormat="1" applyFont="1" applyFill="1" applyAlignment="1">
      <alignment horizontal="center" vertical="center" wrapText="1"/>
    </xf>
    <xf numFmtId="2" fontId="9" fillId="0" borderId="1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horizontal="center" vertical="center" wrapText="1"/>
    </xf>
    <xf numFmtId="2" fontId="9" fillId="0" borderId="10" xfId="0" applyNumberFormat="1" applyFont="1" applyBorder="1" applyAlignment="1">
      <alignment horizontal="center" vertical="center" wrapText="1"/>
    </xf>
    <xf numFmtId="2" fontId="9" fillId="0" borderId="5" xfId="0" applyNumberFormat="1" applyFont="1" applyBorder="1" applyAlignment="1">
      <alignment horizontal="center" vertical="center" wrapText="1"/>
    </xf>
    <xf numFmtId="2" fontId="9" fillId="0" borderId="6" xfId="0" applyNumberFormat="1" applyFont="1" applyBorder="1" applyAlignment="1">
      <alignment vertical="center" wrapText="1"/>
    </xf>
    <xf numFmtId="2" fontId="9" fillId="0" borderId="7" xfId="0" applyNumberFormat="1" applyFont="1" applyBorder="1" applyAlignment="1">
      <alignment horizontal="center" vertical="center" wrapText="1"/>
    </xf>
    <xf numFmtId="2" fontId="9" fillId="0" borderId="13" xfId="0" applyNumberFormat="1" applyFont="1" applyBorder="1" applyAlignment="1">
      <alignment vertical="center" wrapText="1"/>
    </xf>
    <xf numFmtId="2" fontId="9" fillId="0" borderId="13" xfId="0" applyNumberFormat="1" applyFont="1" applyBorder="1" applyAlignment="1">
      <alignment horizontal="center" vertical="center" wrapText="1"/>
    </xf>
    <xf numFmtId="2" fontId="9" fillId="0" borderId="3" xfId="0" applyNumberFormat="1" applyFont="1" applyBorder="1" applyAlignment="1">
      <alignment horizontal="center" vertical="center" wrapText="1"/>
    </xf>
    <xf numFmtId="2" fontId="9" fillId="0" borderId="1" xfId="0" applyNumberFormat="1" applyFont="1" applyFill="1" applyBorder="1" applyAlignment="1">
      <alignment vertical="center" wrapText="1"/>
    </xf>
    <xf numFmtId="2" fontId="8" fillId="0" borderId="10" xfId="0" applyNumberFormat="1" applyFont="1" applyBorder="1" applyAlignment="1">
      <alignment vertical="center" wrapText="1"/>
    </xf>
    <xf numFmtId="2" fontId="8" fillId="0" borderId="10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164" fontId="9" fillId="0" borderId="12" xfId="0" applyNumberFormat="1" applyFont="1" applyBorder="1" applyAlignment="1">
      <alignment horizontal="center" vertical="center" wrapText="1"/>
    </xf>
    <xf numFmtId="0" fontId="3" fillId="5" borderId="15" xfId="0" applyFont="1" applyFill="1" applyBorder="1" applyAlignment="1">
      <alignment vertical="center" wrapText="1"/>
    </xf>
    <xf numFmtId="0" fontId="3" fillId="5" borderId="16" xfId="0" applyFont="1" applyFill="1" applyBorder="1" applyAlignment="1">
      <alignment vertical="center" wrapText="1"/>
    </xf>
    <xf numFmtId="0" fontId="3" fillId="5" borderId="16" xfId="0" applyFont="1" applyFill="1" applyBorder="1" applyAlignment="1">
      <alignment horizontal="center" vertical="center" wrapText="1"/>
    </xf>
    <xf numFmtId="164" fontId="3" fillId="5" borderId="17" xfId="0" applyNumberFormat="1" applyFont="1" applyFill="1" applyBorder="1" applyAlignment="1">
      <alignment horizontal="center" vertical="center" wrapText="1"/>
    </xf>
    <xf numFmtId="164" fontId="3" fillId="5" borderId="16" xfId="0" applyNumberFormat="1" applyFont="1" applyFill="1" applyBorder="1" applyAlignment="1">
      <alignment horizontal="center" vertical="center" wrapText="1"/>
    </xf>
    <xf numFmtId="166" fontId="3" fillId="5" borderId="16" xfId="1" applyNumberFormat="1" applyFont="1" applyFill="1" applyBorder="1" applyAlignment="1">
      <alignment vertical="center" wrapText="1"/>
    </xf>
    <xf numFmtId="2" fontId="3" fillId="5" borderId="16" xfId="0" applyNumberFormat="1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14" fontId="3" fillId="5" borderId="18" xfId="0" applyNumberFormat="1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vertical="center" wrapText="1"/>
    </xf>
    <xf numFmtId="0" fontId="10" fillId="5" borderId="19" xfId="0" applyFont="1" applyFill="1" applyBorder="1" applyAlignment="1">
      <alignment vertical="center" wrapText="1"/>
    </xf>
    <xf numFmtId="0" fontId="3" fillId="5" borderId="20" xfId="0" applyFont="1" applyFill="1" applyBorder="1" applyAlignment="1">
      <alignment vertical="center" wrapText="1"/>
    </xf>
    <xf numFmtId="0" fontId="3" fillId="5" borderId="21" xfId="0" applyFont="1" applyFill="1" applyBorder="1" applyAlignment="1">
      <alignment vertical="center" wrapText="1"/>
    </xf>
    <xf numFmtId="0" fontId="3" fillId="5" borderId="21" xfId="0" applyFont="1" applyFill="1" applyBorder="1" applyAlignment="1">
      <alignment horizontal="center" vertical="center" wrapText="1"/>
    </xf>
    <xf numFmtId="164" fontId="3" fillId="5" borderId="21" xfId="0" applyNumberFormat="1" applyFont="1" applyFill="1" applyBorder="1" applyAlignment="1">
      <alignment horizontal="center" vertical="center" wrapText="1"/>
    </xf>
    <xf numFmtId="165" fontId="3" fillId="5" borderId="21" xfId="1" applyNumberFormat="1" applyFont="1" applyFill="1" applyBorder="1" applyAlignment="1">
      <alignment vertical="center" wrapText="1"/>
    </xf>
    <xf numFmtId="2" fontId="3" fillId="5" borderId="21" xfId="0" applyNumberFormat="1" applyFont="1" applyFill="1" applyBorder="1" applyAlignment="1">
      <alignment horizontal="center" vertical="center" wrapText="1"/>
    </xf>
    <xf numFmtId="14" fontId="3" fillId="5" borderId="21" xfId="0" applyNumberFormat="1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vertical="center" wrapText="1"/>
    </xf>
    <xf numFmtId="0" fontId="10" fillId="5" borderId="22" xfId="0" applyFont="1" applyFill="1" applyBorder="1" applyAlignment="1">
      <alignment vertical="center" wrapText="1"/>
    </xf>
    <xf numFmtId="0" fontId="3" fillId="10" borderId="20" xfId="0" applyFont="1" applyFill="1" applyBorder="1" applyAlignment="1">
      <alignment vertical="center" wrapText="1"/>
    </xf>
    <xf numFmtId="0" fontId="3" fillId="10" borderId="21" xfId="0" applyFont="1" applyFill="1" applyBorder="1" applyAlignment="1">
      <alignment vertical="center" wrapText="1"/>
    </xf>
    <xf numFmtId="0" fontId="3" fillId="10" borderId="21" xfId="0" applyFont="1" applyFill="1" applyBorder="1" applyAlignment="1">
      <alignment horizontal="center" vertical="center" wrapText="1"/>
    </xf>
    <xf numFmtId="164" fontId="3" fillId="10" borderId="21" xfId="0" applyNumberFormat="1" applyFont="1" applyFill="1" applyBorder="1" applyAlignment="1">
      <alignment horizontal="center" vertical="center" wrapText="1"/>
    </xf>
    <xf numFmtId="165" fontId="3" fillId="10" borderId="21" xfId="1" applyNumberFormat="1" applyFont="1" applyFill="1" applyBorder="1" applyAlignment="1">
      <alignment vertical="center" wrapText="1"/>
    </xf>
    <xf numFmtId="2" fontId="3" fillId="10" borderId="21" xfId="0" applyNumberFormat="1" applyFont="1" applyFill="1" applyBorder="1" applyAlignment="1">
      <alignment horizontal="center" vertical="center" wrapText="1"/>
    </xf>
    <xf numFmtId="14" fontId="3" fillId="10" borderId="21" xfId="0" applyNumberFormat="1" applyFont="1" applyFill="1" applyBorder="1" applyAlignment="1">
      <alignment horizontal="center" vertical="center" wrapText="1"/>
    </xf>
    <xf numFmtId="0" fontId="10" fillId="10" borderId="22" xfId="0" applyFont="1" applyFill="1" applyBorder="1" applyAlignment="1">
      <alignment vertical="center" wrapText="1"/>
    </xf>
    <xf numFmtId="0" fontId="3" fillId="7" borderId="20" xfId="0" applyFont="1" applyFill="1" applyBorder="1" applyAlignment="1">
      <alignment vertical="center" wrapText="1"/>
    </xf>
    <xf numFmtId="0" fontId="3" fillId="7" borderId="21" xfId="0" applyFont="1" applyFill="1" applyBorder="1" applyAlignment="1">
      <alignment vertical="center" wrapText="1"/>
    </xf>
    <xf numFmtId="0" fontId="3" fillId="7" borderId="21" xfId="0" applyFont="1" applyFill="1" applyBorder="1" applyAlignment="1">
      <alignment horizontal="center" vertical="center" wrapText="1"/>
    </xf>
    <xf numFmtId="164" fontId="3" fillId="7" borderId="21" xfId="0" applyNumberFormat="1" applyFont="1" applyFill="1" applyBorder="1" applyAlignment="1">
      <alignment horizontal="center" vertical="center" wrapText="1"/>
    </xf>
    <xf numFmtId="165" fontId="3" fillId="7" borderId="21" xfId="1" applyNumberFormat="1" applyFont="1" applyFill="1" applyBorder="1" applyAlignment="1">
      <alignment vertical="center" wrapText="1"/>
    </xf>
    <xf numFmtId="2" fontId="3" fillId="7" borderId="21" xfId="0" applyNumberFormat="1" applyFont="1" applyFill="1" applyBorder="1" applyAlignment="1">
      <alignment horizontal="center" vertical="center" wrapText="1"/>
    </xf>
    <xf numFmtId="14" fontId="3" fillId="7" borderId="21" xfId="0" applyNumberFormat="1" applyFont="1" applyFill="1" applyBorder="1" applyAlignment="1">
      <alignment horizontal="center" vertical="center" wrapText="1"/>
    </xf>
    <xf numFmtId="0" fontId="10" fillId="7" borderId="22" xfId="0" applyFont="1" applyFill="1" applyBorder="1" applyAlignment="1">
      <alignment vertical="center" wrapText="1"/>
    </xf>
    <xf numFmtId="0" fontId="3" fillId="4" borderId="20" xfId="0" applyFont="1" applyFill="1" applyBorder="1" applyAlignment="1">
      <alignment vertical="center" wrapText="1"/>
    </xf>
    <xf numFmtId="0" fontId="3" fillId="4" borderId="21" xfId="0" applyFont="1" applyFill="1" applyBorder="1" applyAlignment="1">
      <alignment vertical="center" wrapText="1"/>
    </xf>
    <xf numFmtId="0" fontId="3" fillId="4" borderId="21" xfId="0" applyFont="1" applyFill="1" applyBorder="1" applyAlignment="1">
      <alignment horizontal="center" vertical="center" wrapText="1"/>
    </xf>
    <xf numFmtId="164" fontId="3" fillId="4" borderId="21" xfId="0" applyNumberFormat="1" applyFont="1" applyFill="1" applyBorder="1" applyAlignment="1">
      <alignment horizontal="center" vertical="center" wrapText="1"/>
    </xf>
    <xf numFmtId="165" fontId="3" fillId="4" borderId="21" xfId="1" applyNumberFormat="1" applyFont="1" applyFill="1" applyBorder="1" applyAlignment="1">
      <alignment vertical="center" wrapText="1"/>
    </xf>
    <xf numFmtId="2" fontId="3" fillId="4" borderId="21" xfId="0" applyNumberFormat="1" applyFont="1" applyFill="1" applyBorder="1" applyAlignment="1">
      <alignment horizontal="center" vertical="center" wrapText="1"/>
    </xf>
    <xf numFmtId="0" fontId="10" fillId="4" borderId="22" xfId="0" applyFont="1" applyFill="1" applyBorder="1" applyAlignment="1">
      <alignment vertical="center" wrapText="1"/>
    </xf>
    <xf numFmtId="0" fontId="3" fillId="3" borderId="20" xfId="0" applyFont="1" applyFill="1" applyBorder="1" applyAlignment="1">
      <alignment vertical="center" wrapText="1"/>
    </xf>
    <xf numFmtId="0" fontId="3" fillId="3" borderId="21" xfId="0" applyFont="1" applyFill="1" applyBorder="1" applyAlignment="1">
      <alignment vertical="center" wrapText="1"/>
    </xf>
    <xf numFmtId="0" fontId="3" fillId="3" borderId="21" xfId="0" applyFont="1" applyFill="1" applyBorder="1" applyAlignment="1">
      <alignment horizontal="center" vertical="center" wrapText="1"/>
    </xf>
    <xf numFmtId="164" fontId="3" fillId="3" borderId="21" xfId="0" applyNumberFormat="1" applyFont="1" applyFill="1" applyBorder="1" applyAlignment="1">
      <alignment horizontal="center" vertical="center" wrapText="1"/>
    </xf>
    <xf numFmtId="165" fontId="3" fillId="3" borderId="21" xfId="1" applyNumberFormat="1" applyFont="1" applyFill="1" applyBorder="1" applyAlignment="1">
      <alignment vertical="center" wrapText="1"/>
    </xf>
    <xf numFmtId="2" fontId="3" fillId="3" borderId="21" xfId="0" applyNumberFormat="1" applyFont="1" applyFill="1" applyBorder="1" applyAlignment="1">
      <alignment horizontal="center" vertical="center" wrapText="1"/>
    </xf>
    <xf numFmtId="14" fontId="3" fillId="3" borderId="21" xfId="0" applyNumberFormat="1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vertical="center" wrapText="1"/>
    </xf>
    <xf numFmtId="0" fontId="3" fillId="9" borderId="20" xfId="0" applyFont="1" applyFill="1" applyBorder="1" applyAlignment="1">
      <alignment vertical="center" wrapText="1"/>
    </xf>
    <xf numFmtId="0" fontId="3" fillId="9" borderId="21" xfId="0" applyFont="1" applyFill="1" applyBorder="1" applyAlignment="1">
      <alignment vertical="center" wrapText="1"/>
    </xf>
    <xf numFmtId="0" fontId="3" fillId="9" borderId="21" xfId="0" applyFont="1" applyFill="1" applyBorder="1" applyAlignment="1">
      <alignment horizontal="center" vertical="center" wrapText="1"/>
    </xf>
    <xf numFmtId="164" fontId="3" fillId="9" borderId="21" xfId="0" applyNumberFormat="1" applyFont="1" applyFill="1" applyBorder="1" applyAlignment="1">
      <alignment horizontal="center" vertical="center" wrapText="1"/>
    </xf>
    <xf numFmtId="165" fontId="3" fillId="9" borderId="21" xfId="1" applyNumberFormat="1" applyFont="1" applyFill="1" applyBorder="1" applyAlignment="1">
      <alignment vertical="center" wrapText="1"/>
    </xf>
    <xf numFmtId="2" fontId="3" fillId="9" borderId="21" xfId="0" applyNumberFormat="1" applyFont="1" applyFill="1" applyBorder="1" applyAlignment="1">
      <alignment horizontal="center" vertical="center" wrapText="1"/>
    </xf>
    <xf numFmtId="0" fontId="10" fillId="9" borderId="22" xfId="0" applyFont="1" applyFill="1" applyBorder="1" applyAlignment="1">
      <alignment vertical="center" wrapText="1"/>
    </xf>
    <xf numFmtId="0" fontId="3" fillId="8" borderId="20" xfId="0" applyFont="1" applyFill="1" applyBorder="1" applyAlignment="1">
      <alignment vertical="center" wrapText="1"/>
    </xf>
    <xf numFmtId="0" fontId="3" fillId="8" borderId="21" xfId="0" applyFont="1" applyFill="1" applyBorder="1" applyAlignment="1">
      <alignment vertical="center" wrapText="1"/>
    </xf>
    <xf numFmtId="0" fontId="3" fillId="8" borderId="21" xfId="0" applyFont="1" applyFill="1" applyBorder="1" applyAlignment="1">
      <alignment horizontal="center" vertical="center" wrapText="1"/>
    </xf>
    <xf numFmtId="164" fontId="3" fillId="8" borderId="21" xfId="0" applyNumberFormat="1" applyFont="1" applyFill="1" applyBorder="1" applyAlignment="1">
      <alignment horizontal="center" vertical="center" wrapText="1"/>
    </xf>
    <xf numFmtId="165" fontId="3" fillId="8" borderId="21" xfId="1" applyNumberFormat="1" applyFont="1" applyFill="1" applyBorder="1" applyAlignment="1">
      <alignment vertical="center" wrapText="1"/>
    </xf>
    <xf numFmtId="2" fontId="3" fillId="8" borderId="21" xfId="0" applyNumberFormat="1" applyFont="1" applyFill="1" applyBorder="1" applyAlignment="1">
      <alignment horizontal="center" vertical="center" wrapText="1"/>
    </xf>
    <xf numFmtId="0" fontId="10" fillId="8" borderId="22" xfId="0" applyFont="1" applyFill="1" applyBorder="1" applyAlignment="1">
      <alignment vertical="center" wrapText="1"/>
    </xf>
    <xf numFmtId="0" fontId="3" fillId="2" borderId="20" xfId="0" applyFont="1" applyFill="1" applyBorder="1" applyAlignment="1">
      <alignment vertical="center" wrapText="1"/>
    </xf>
    <xf numFmtId="0" fontId="3" fillId="2" borderId="21" xfId="0" applyFont="1" applyFill="1" applyBorder="1" applyAlignment="1">
      <alignment vertical="center" wrapText="1"/>
    </xf>
    <xf numFmtId="0" fontId="3" fillId="2" borderId="21" xfId="0" applyFont="1" applyFill="1" applyBorder="1" applyAlignment="1">
      <alignment horizontal="center" vertical="center" wrapText="1"/>
    </xf>
    <xf numFmtId="164" fontId="3" fillId="2" borderId="21" xfId="0" applyNumberFormat="1" applyFont="1" applyFill="1" applyBorder="1" applyAlignment="1">
      <alignment horizontal="center" vertical="center" wrapText="1"/>
    </xf>
    <xf numFmtId="165" fontId="3" fillId="2" borderId="21" xfId="1" applyNumberFormat="1" applyFont="1" applyFill="1" applyBorder="1" applyAlignment="1">
      <alignment vertical="center" wrapText="1"/>
    </xf>
    <xf numFmtId="2" fontId="3" fillId="2" borderId="21" xfId="0" applyNumberFormat="1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vertical="center" wrapText="1"/>
    </xf>
    <xf numFmtId="0" fontId="7" fillId="11" borderId="23" xfId="0" applyFont="1" applyFill="1" applyBorder="1" applyAlignment="1">
      <alignment vertical="center" wrapText="1"/>
    </xf>
    <xf numFmtId="0" fontId="7" fillId="11" borderId="21" xfId="0" applyFont="1" applyFill="1" applyBorder="1" applyAlignment="1">
      <alignment vertical="center" wrapText="1"/>
    </xf>
    <xf numFmtId="0" fontId="7" fillId="11" borderId="21" xfId="0" applyFont="1" applyFill="1" applyBorder="1" applyAlignment="1">
      <alignment horizontal="center" vertical="center" wrapText="1"/>
    </xf>
    <xf numFmtId="164" fontId="7" fillId="11" borderId="21" xfId="0" applyNumberFormat="1" applyFont="1" applyFill="1" applyBorder="1" applyAlignment="1">
      <alignment horizontal="center" vertical="center" wrapText="1"/>
    </xf>
    <xf numFmtId="165" fontId="7" fillId="11" borderId="21" xfId="1" applyNumberFormat="1" applyFont="1" applyFill="1" applyBorder="1" applyAlignment="1">
      <alignment horizontal="center" vertical="center" wrapText="1"/>
    </xf>
    <xf numFmtId="2" fontId="7" fillId="11" borderId="21" xfId="0" applyNumberFormat="1" applyFont="1" applyFill="1" applyBorder="1" applyAlignment="1">
      <alignment horizontal="center" vertical="center" wrapText="1"/>
    </xf>
    <xf numFmtId="14" fontId="7" fillId="11" borderId="21" xfId="0" applyNumberFormat="1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10" fillId="11" borderId="21" xfId="0" applyFont="1" applyFill="1" applyBorder="1" applyAlignment="1">
      <alignment horizontal="center" vertical="center" wrapText="1"/>
    </xf>
    <xf numFmtId="0" fontId="10" fillId="11" borderId="22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vertical="center" wrapText="1"/>
    </xf>
    <xf numFmtId="0" fontId="7" fillId="3" borderId="21" xfId="0" applyFont="1" applyFill="1" applyBorder="1" applyAlignment="1">
      <alignment vertical="center" wrapText="1"/>
    </xf>
    <xf numFmtId="0" fontId="7" fillId="3" borderId="21" xfId="0" applyFont="1" applyFill="1" applyBorder="1" applyAlignment="1">
      <alignment horizontal="center" vertical="center" wrapText="1"/>
    </xf>
    <xf numFmtId="164" fontId="7" fillId="3" borderId="21" xfId="0" applyNumberFormat="1" applyFont="1" applyFill="1" applyBorder="1" applyAlignment="1">
      <alignment horizontal="center" vertical="center" wrapText="1"/>
    </xf>
    <xf numFmtId="165" fontId="7" fillId="3" borderId="21" xfId="1" applyNumberFormat="1" applyFont="1" applyFill="1" applyBorder="1" applyAlignment="1">
      <alignment horizontal="center" vertical="center" wrapText="1"/>
    </xf>
    <xf numFmtId="2" fontId="7" fillId="3" borderId="21" xfId="0" applyNumberFormat="1" applyFont="1" applyFill="1" applyBorder="1" applyAlignment="1">
      <alignment horizontal="center" vertical="center" wrapText="1"/>
    </xf>
    <xf numFmtId="14" fontId="7" fillId="3" borderId="21" xfId="0" applyNumberFormat="1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7" fillId="7" borderId="23" xfId="0" applyFont="1" applyFill="1" applyBorder="1" applyAlignment="1">
      <alignment vertical="center" wrapText="1"/>
    </xf>
    <xf numFmtId="0" fontId="7" fillId="7" borderId="21" xfId="0" applyFont="1" applyFill="1" applyBorder="1" applyAlignment="1">
      <alignment vertical="center" wrapText="1"/>
    </xf>
    <xf numFmtId="0" fontId="7" fillId="7" borderId="21" xfId="0" applyFont="1" applyFill="1" applyBorder="1" applyAlignment="1">
      <alignment horizontal="center" vertical="center" wrapText="1"/>
    </xf>
    <xf numFmtId="164" fontId="7" fillId="7" borderId="21" xfId="0" applyNumberFormat="1" applyFont="1" applyFill="1" applyBorder="1" applyAlignment="1">
      <alignment horizontal="center" vertical="center" wrapText="1"/>
    </xf>
    <xf numFmtId="165" fontId="7" fillId="7" borderId="21" xfId="1" applyNumberFormat="1" applyFont="1" applyFill="1" applyBorder="1" applyAlignment="1">
      <alignment horizontal="center" vertical="center" wrapText="1"/>
    </xf>
    <xf numFmtId="2" fontId="7" fillId="7" borderId="21" xfId="0" applyNumberFormat="1" applyFont="1" applyFill="1" applyBorder="1" applyAlignment="1">
      <alignment horizontal="center" vertical="center" wrapText="1"/>
    </xf>
    <xf numFmtId="14" fontId="7" fillId="7" borderId="21" xfId="0" applyNumberFormat="1" applyFont="1" applyFill="1" applyBorder="1" applyAlignment="1">
      <alignment horizontal="center" vertical="center" wrapText="1"/>
    </xf>
    <xf numFmtId="0" fontId="10" fillId="7" borderId="21" xfId="0" applyFont="1" applyFill="1" applyBorder="1" applyAlignment="1">
      <alignment horizontal="center" vertical="center" wrapText="1"/>
    </xf>
    <xf numFmtId="0" fontId="10" fillId="7" borderId="22" xfId="0" applyFont="1" applyFill="1" applyBorder="1" applyAlignment="1">
      <alignment horizontal="center" vertical="center" wrapText="1"/>
    </xf>
    <xf numFmtId="0" fontId="7" fillId="15" borderId="23" xfId="0" applyFont="1" applyFill="1" applyBorder="1" applyAlignment="1">
      <alignment vertical="center" wrapText="1"/>
    </xf>
    <xf numFmtId="0" fontId="7" fillId="15" borderId="21" xfId="0" applyFont="1" applyFill="1" applyBorder="1" applyAlignment="1">
      <alignment vertical="center" wrapText="1"/>
    </xf>
    <xf numFmtId="0" fontId="7" fillId="15" borderId="21" xfId="0" applyFont="1" applyFill="1" applyBorder="1" applyAlignment="1">
      <alignment horizontal="center" vertical="center" wrapText="1"/>
    </xf>
    <xf numFmtId="164" fontId="7" fillId="15" borderId="21" xfId="0" applyNumberFormat="1" applyFont="1" applyFill="1" applyBorder="1" applyAlignment="1">
      <alignment horizontal="center" vertical="center" wrapText="1"/>
    </xf>
    <xf numFmtId="2" fontId="7" fillId="15" borderId="21" xfId="0" applyNumberFormat="1" applyFont="1" applyFill="1" applyBorder="1" applyAlignment="1">
      <alignment horizontal="center" vertical="center" wrapText="1"/>
    </xf>
    <xf numFmtId="0" fontId="10" fillId="15" borderId="21" xfId="0" applyFont="1" applyFill="1" applyBorder="1" applyAlignment="1">
      <alignment horizontal="center" vertical="center" wrapText="1"/>
    </xf>
    <xf numFmtId="0" fontId="10" fillId="15" borderId="22" xfId="0" applyFont="1" applyFill="1" applyBorder="1" applyAlignment="1">
      <alignment horizontal="center" vertical="center" wrapText="1"/>
    </xf>
    <xf numFmtId="0" fontId="7" fillId="17" borderId="23" xfId="0" applyFont="1" applyFill="1" applyBorder="1" applyAlignment="1">
      <alignment vertical="center" wrapText="1"/>
    </xf>
    <xf numFmtId="0" fontId="7" fillId="17" borderId="21" xfId="0" applyFont="1" applyFill="1" applyBorder="1" applyAlignment="1">
      <alignment vertical="center" wrapText="1"/>
    </xf>
    <xf numFmtId="0" fontId="7" fillId="17" borderId="21" xfId="0" applyFont="1" applyFill="1" applyBorder="1" applyAlignment="1">
      <alignment horizontal="center" vertical="center" wrapText="1"/>
    </xf>
    <xf numFmtId="164" fontId="7" fillId="17" borderId="21" xfId="0" applyNumberFormat="1" applyFont="1" applyFill="1" applyBorder="1" applyAlignment="1">
      <alignment horizontal="center" vertical="center" wrapText="1"/>
    </xf>
    <xf numFmtId="2" fontId="7" fillId="17" borderId="21" xfId="0" applyNumberFormat="1" applyFont="1" applyFill="1" applyBorder="1" applyAlignment="1">
      <alignment horizontal="center" vertical="center" wrapText="1"/>
    </xf>
    <xf numFmtId="0" fontId="10" fillId="17" borderId="21" xfId="0" applyFont="1" applyFill="1" applyBorder="1" applyAlignment="1">
      <alignment horizontal="center" vertical="center" wrapText="1"/>
    </xf>
    <xf numFmtId="0" fontId="10" fillId="17" borderId="22" xfId="0" applyFont="1" applyFill="1" applyBorder="1" applyAlignment="1">
      <alignment horizontal="center" vertical="center" wrapText="1"/>
    </xf>
    <xf numFmtId="0" fontId="7" fillId="17" borderId="24" xfId="0" applyFont="1" applyFill="1" applyBorder="1" applyAlignment="1">
      <alignment vertical="center" wrapText="1"/>
    </xf>
    <xf numFmtId="0" fontId="7" fillId="17" borderId="25" xfId="0" applyFont="1" applyFill="1" applyBorder="1" applyAlignment="1">
      <alignment vertical="center" wrapText="1"/>
    </xf>
    <xf numFmtId="0" fontId="7" fillId="17" borderId="25" xfId="0" applyFont="1" applyFill="1" applyBorder="1" applyAlignment="1">
      <alignment horizontal="center" vertical="center" wrapText="1"/>
    </xf>
    <xf numFmtId="164" fontId="7" fillId="17" borderId="25" xfId="0" applyNumberFormat="1" applyFont="1" applyFill="1" applyBorder="1" applyAlignment="1">
      <alignment horizontal="center" vertical="center" wrapText="1"/>
    </xf>
    <xf numFmtId="2" fontId="7" fillId="17" borderId="25" xfId="0" applyNumberFormat="1" applyFont="1" applyFill="1" applyBorder="1" applyAlignment="1">
      <alignment horizontal="center" vertical="center" wrapText="1"/>
    </xf>
    <xf numFmtId="0" fontId="7" fillId="0" borderId="25" xfId="0" applyFont="1" applyFill="1" applyBorder="1" applyAlignment="1">
      <alignment vertical="center" wrapText="1"/>
    </xf>
    <xf numFmtId="0" fontId="10" fillId="17" borderId="25" xfId="0" applyFont="1" applyFill="1" applyBorder="1" applyAlignment="1">
      <alignment horizontal="center" vertical="center" wrapText="1"/>
    </xf>
    <xf numFmtId="0" fontId="10" fillId="17" borderId="26" xfId="0" applyFont="1" applyFill="1" applyBorder="1" applyAlignment="1">
      <alignment horizontal="center" vertical="center" wrapText="1"/>
    </xf>
    <xf numFmtId="0" fontId="7" fillId="0" borderId="25" xfId="0" applyFont="1" applyFill="1" applyBorder="1" applyAlignment="1">
      <alignment horizontal="center" vertical="center" wrapText="1"/>
    </xf>
    <xf numFmtId="164" fontId="2" fillId="5" borderId="21" xfId="0" applyNumberFormat="1" applyFont="1" applyFill="1" applyBorder="1" applyAlignment="1">
      <alignment horizontal="center" vertical="center" wrapText="1"/>
    </xf>
    <xf numFmtId="164" fontId="2" fillId="10" borderId="21" xfId="0" applyNumberFormat="1" applyFont="1" applyFill="1" applyBorder="1" applyAlignment="1">
      <alignment horizontal="center" vertical="center" wrapText="1"/>
    </xf>
    <xf numFmtId="164" fontId="2" fillId="7" borderId="21" xfId="0" applyNumberFormat="1" applyFont="1" applyFill="1" applyBorder="1" applyAlignment="1">
      <alignment horizontal="center" vertical="center" wrapText="1"/>
    </xf>
    <xf numFmtId="164" fontId="2" fillId="4" borderId="21" xfId="0" applyNumberFormat="1" applyFont="1" applyFill="1" applyBorder="1" applyAlignment="1">
      <alignment horizontal="center" vertical="center" wrapText="1"/>
    </xf>
    <xf numFmtId="164" fontId="10" fillId="7" borderId="21" xfId="0" applyNumberFormat="1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0" fontId="10" fillId="10" borderId="21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 wrapText="1"/>
    </xf>
    <xf numFmtId="0" fontId="10" fillId="8" borderId="21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164" fontId="11" fillId="0" borderId="12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2" fontId="7" fillId="0" borderId="0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10" fillId="0" borderId="0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left" vertical="center" wrapText="1"/>
    </xf>
    <xf numFmtId="0" fontId="3" fillId="5" borderId="21" xfId="0" applyFont="1" applyFill="1" applyBorder="1" applyAlignment="1">
      <alignment horizontal="left" vertical="center" wrapText="1"/>
    </xf>
    <xf numFmtId="0" fontId="3" fillId="10" borderId="21" xfId="0" applyFont="1" applyFill="1" applyBorder="1" applyAlignment="1">
      <alignment horizontal="left" vertical="center" wrapText="1"/>
    </xf>
    <xf numFmtId="0" fontId="3" fillId="7" borderId="21" xfId="0" applyFont="1" applyFill="1" applyBorder="1" applyAlignment="1">
      <alignment horizontal="left" vertical="center" wrapText="1"/>
    </xf>
    <xf numFmtId="0" fontId="3" fillId="4" borderId="21" xfId="0" applyFont="1" applyFill="1" applyBorder="1" applyAlignment="1">
      <alignment horizontal="left" vertical="center" wrapText="1"/>
    </xf>
    <xf numFmtId="0" fontId="3" fillId="3" borderId="21" xfId="0" applyFont="1" applyFill="1" applyBorder="1" applyAlignment="1">
      <alignment horizontal="left" vertical="center" wrapText="1"/>
    </xf>
    <xf numFmtId="0" fontId="3" fillId="9" borderId="21" xfId="0" applyFont="1" applyFill="1" applyBorder="1" applyAlignment="1">
      <alignment horizontal="left" vertical="center" wrapText="1"/>
    </xf>
    <xf numFmtId="0" fontId="3" fillId="8" borderId="21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7" fillId="11" borderId="21" xfId="0" applyFont="1" applyFill="1" applyBorder="1" applyAlignment="1">
      <alignment horizontal="left" vertical="center" wrapText="1"/>
    </xf>
    <xf numFmtId="0" fontId="7" fillId="3" borderId="21" xfId="0" applyFont="1" applyFill="1" applyBorder="1" applyAlignment="1">
      <alignment horizontal="left" vertical="center" wrapText="1"/>
    </xf>
    <xf numFmtId="0" fontId="7" fillId="7" borderId="21" xfId="0" applyFont="1" applyFill="1" applyBorder="1" applyAlignment="1">
      <alignment horizontal="left" vertical="center" wrapText="1"/>
    </xf>
    <xf numFmtId="0" fontId="7" fillId="15" borderId="21" xfId="0" applyFont="1" applyFill="1" applyBorder="1" applyAlignment="1">
      <alignment horizontal="left" vertical="center" wrapText="1"/>
    </xf>
    <xf numFmtId="0" fontId="7" fillId="17" borderId="21" xfId="0" applyFont="1" applyFill="1" applyBorder="1" applyAlignment="1">
      <alignment horizontal="left" vertical="center" wrapText="1"/>
    </xf>
    <xf numFmtId="0" fontId="7" fillId="17" borderId="25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9" borderId="2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2" fontId="11" fillId="0" borderId="7" xfId="0" applyNumberFormat="1" applyFont="1" applyBorder="1" applyAlignment="1">
      <alignment horizontal="center" vertical="center" wrapText="1"/>
    </xf>
    <xf numFmtId="2" fontId="11" fillId="0" borderId="14" xfId="0" applyNumberFormat="1" applyFont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34BD-B921-4977-B3E9-CB39B314B086}">
  <dimension ref="A1:K1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4" sqref="D4"/>
    </sheetView>
  </sheetViews>
  <sheetFormatPr baseColWidth="10" defaultRowHeight="15" x14ac:dyDescent="0.25"/>
  <cols>
    <col min="1" max="1" width="27.5703125" style="2" customWidth="1"/>
    <col min="2" max="2" width="16" style="4" customWidth="1"/>
    <col min="3" max="3" width="58.85546875" style="2" customWidth="1"/>
    <col min="4" max="4" width="27.140625" style="2" customWidth="1"/>
    <col min="5" max="5" width="27" style="2" customWidth="1"/>
    <col min="6" max="6" width="2.85546875" style="2" customWidth="1"/>
    <col min="7" max="7" width="14.140625" style="4" customWidth="1"/>
    <col min="8" max="16384" width="11.42578125" style="2"/>
  </cols>
  <sheetData>
    <row r="1" spans="1:11" ht="48.75" customHeight="1" thickBot="1" x14ac:dyDescent="0.3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/>
      <c r="G1" s="1"/>
      <c r="H1" s="1"/>
      <c r="I1" s="1"/>
      <c r="J1" s="1"/>
      <c r="K1" s="1"/>
    </row>
    <row r="2" spans="1:11" ht="90" thickBot="1" x14ac:dyDescent="0.3">
      <c r="A2" s="1" t="s">
        <v>94</v>
      </c>
      <c r="B2" s="1" t="s">
        <v>95</v>
      </c>
      <c r="C2" s="1" t="s">
        <v>96</v>
      </c>
      <c r="D2" s="1" t="s">
        <v>97</v>
      </c>
      <c r="E2" s="1" t="s">
        <v>98</v>
      </c>
      <c r="F2" s="1"/>
      <c r="G2" s="1"/>
      <c r="H2" s="1"/>
      <c r="I2" s="1"/>
      <c r="J2" s="1"/>
      <c r="K2" s="1"/>
    </row>
    <row r="3" spans="1:11" ht="153.75" thickBot="1" x14ac:dyDescent="0.3">
      <c r="A3" s="1" t="s">
        <v>99</v>
      </c>
      <c r="B3" s="1" t="s">
        <v>100</v>
      </c>
      <c r="C3" s="1" t="s">
        <v>101</v>
      </c>
      <c r="D3" s="1" t="s">
        <v>102</v>
      </c>
      <c r="E3" s="1" t="s">
        <v>98</v>
      </c>
      <c r="F3" s="1"/>
      <c r="G3" s="1"/>
      <c r="H3" s="1"/>
      <c r="I3" s="1"/>
      <c r="J3" s="1"/>
      <c r="K3" s="1"/>
    </row>
    <row r="4" spans="1:11" ht="153.75" thickBot="1" x14ac:dyDescent="0.3">
      <c r="A4" s="1" t="s">
        <v>103</v>
      </c>
      <c r="B4" s="1" t="s">
        <v>104</v>
      </c>
      <c r="C4" s="1" t="s">
        <v>105</v>
      </c>
      <c r="D4" s="1" t="s">
        <v>102</v>
      </c>
      <c r="E4" s="1" t="s">
        <v>98</v>
      </c>
      <c r="F4" s="1"/>
      <c r="G4" s="1"/>
      <c r="H4" s="1"/>
      <c r="I4" s="1"/>
      <c r="J4" s="1"/>
      <c r="K4" s="1"/>
    </row>
    <row r="5" spans="1:11" ht="64.5" thickBot="1" x14ac:dyDescent="0.3">
      <c r="A5" s="1" t="s">
        <v>106</v>
      </c>
      <c r="B5" s="1" t="s">
        <v>107</v>
      </c>
      <c r="C5" s="1" t="s">
        <v>108</v>
      </c>
      <c r="D5" s="1" t="s">
        <v>102</v>
      </c>
      <c r="E5" s="1" t="s">
        <v>98</v>
      </c>
      <c r="F5" s="1"/>
      <c r="G5" s="1"/>
      <c r="H5" s="1"/>
      <c r="I5" s="1"/>
      <c r="J5" s="1"/>
      <c r="K5" s="1"/>
    </row>
    <row r="6" spans="1:11" ht="102.75" thickBot="1" x14ac:dyDescent="0.3">
      <c r="A6" s="1" t="s">
        <v>109</v>
      </c>
      <c r="B6" s="1" t="s">
        <v>95</v>
      </c>
      <c r="C6" s="1" t="s">
        <v>110</v>
      </c>
      <c r="D6" s="1" t="s">
        <v>97</v>
      </c>
      <c r="E6" s="1" t="s">
        <v>98</v>
      </c>
      <c r="F6" s="1"/>
      <c r="G6" s="1"/>
      <c r="H6" s="1"/>
      <c r="I6" s="1"/>
      <c r="J6" s="1"/>
      <c r="K6" s="1"/>
    </row>
    <row r="7" spans="1:11" ht="102.75" thickBot="1" x14ac:dyDescent="0.3">
      <c r="A7" s="1" t="s">
        <v>111</v>
      </c>
      <c r="B7" s="1" t="s">
        <v>95</v>
      </c>
      <c r="C7" s="1" t="s">
        <v>112</v>
      </c>
      <c r="D7" s="1" t="s">
        <v>102</v>
      </c>
      <c r="E7" s="1" t="s">
        <v>98</v>
      </c>
      <c r="F7" s="1"/>
      <c r="G7" s="1"/>
      <c r="H7" s="1"/>
      <c r="I7" s="1"/>
      <c r="J7" s="1"/>
      <c r="K7" s="1"/>
    </row>
    <row r="8" spans="1:11" ht="192" thickBot="1" x14ac:dyDescent="0.3">
      <c r="A8" s="1" t="s">
        <v>113</v>
      </c>
      <c r="B8" s="1" t="s">
        <v>114</v>
      </c>
      <c r="C8" s="1" t="s">
        <v>115</v>
      </c>
      <c r="D8" s="1" t="s">
        <v>97</v>
      </c>
      <c r="E8" s="1" t="s">
        <v>98</v>
      </c>
      <c r="F8" s="1"/>
      <c r="G8" s="1"/>
      <c r="H8" s="1"/>
      <c r="I8" s="1"/>
      <c r="J8" s="1"/>
      <c r="K8" s="1"/>
    </row>
    <row r="9" spans="1:11" ht="141" thickBot="1" x14ac:dyDescent="0.3">
      <c r="A9" s="1" t="s">
        <v>116</v>
      </c>
      <c r="B9" s="1" t="s">
        <v>95</v>
      </c>
      <c r="C9" s="1" t="s">
        <v>117</v>
      </c>
      <c r="D9" s="1" t="s">
        <v>102</v>
      </c>
      <c r="E9" s="1" t="s">
        <v>98</v>
      </c>
      <c r="F9" s="1"/>
      <c r="G9" s="1"/>
      <c r="H9" s="1"/>
      <c r="I9" s="1"/>
      <c r="J9" s="1"/>
      <c r="K9" s="1"/>
    </row>
    <row r="10" spans="1:11" ht="90" thickBot="1" x14ac:dyDescent="0.3">
      <c r="A10" s="1" t="s">
        <v>118</v>
      </c>
      <c r="B10" s="1" t="s">
        <v>119</v>
      </c>
      <c r="C10" s="1" t="s">
        <v>120</v>
      </c>
      <c r="D10" s="1" t="s">
        <v>102</v>
      </c>
      <c r="E10" s="1" t="s">
        <v>98</v>
      </c>
      <c r="F10" s="1"/>
      <c r="G10" s="1"/>
      <c r="H10" s="1"/>
      <c r="I10" s="1"/>
      <c r="J10" s="1"/>
      <c r="K10" s="1"/>
    </row>
    <row r="11" spans="1:11" ht="128.25" thickBot="1" x14ac:dyDescent="0.3">
      <c r="A11" s="1" t="s">
        <v>121</v>
      </c>
      <c r="B11" s="1" t="s">
        <v>95</v>
      </c>
      <c r="C11" s="1" t="s">
        <v>122</v>
      </c>
      <c r="D11" s="1" t="s">
        <v>102</v>
      </c>
      <c r="E11" s="1" t="s">
        <v>98</v>
      </c>
      <c r="F11" s="1"/>
      <c r="G11" s="1"/>
      <c r="H11" s="1"/>
      <c r="I11" s="1"/>
      <c r="J11" s="1"/>
      <c r="K11" s="1"/>
    </row>
    <row r="12" spans="1:11" ht="128.25" thickBot="1" x14ac:dyDescent="0.3">
      <c r="A12" s="1" t="s">
        <v>123</v>
      </c>
      <c r="B12" s="1" t="s">
        <v>114</v>
      </c>
      <c r="C12" s="1" t="s">
        <v>124</v>
      </c>
      <c r="D12" s="1" t="s">
        <v>102</v>
      </c>
      <c r="E12" s="1" t="s">
        <v>98</v>
      </c>
      <c r="F12" s="1"/>
      <c r="G12" s="1"/>
      <c r="H12" s="1"/>
      <c r="I12" s="1"/>
      <c r="J12" s="1"/>
      <c r="K12" s="1"/>
    </row>
    <row r="13" spans="1:11" ht="87" customHeight="1" thickBot="1" x14ac:dyDescent="0.3">
      <c r="A13" s="1" t="s">
        <v>125</v>
      </c>
      <c r="B13" s="1" t="s">
        <v>95</v>
      </c>
      <c r="C13" s="1" t="s">
        <v>126</v>
      </c>
      <c r="D13" s="1" t="s">
        <v>97</v>
      </c>
      <c r="E13" s="1" t="s">
        <v>98</v>
      </c>
      <c r="F13" s="1"/>
      <c r="G13" s="1"/>
      <c r="H13" s="1"/>
      <c r="I13" s="1"/>
      <c r="J13" s="1"/>
      <c r="K13" s="1"/>
    </row>
    <row r="14" spans="1:11" ht="39" thickBot="1" x14ac:dyDescent="0.3">
      <c r="A14" s="1" t="s">
        <v>127</v>
      </c>
      <c r="B14" s="1" t="s">
        <v>95</v>
      </c>
      <c r="C14" s="1" t="s">
        <v>128</v>
      </c>
      <c r="D14" s="1" t="s">
        <v>97</v>
      </c>
      <c r="E14" s="1" t="s">
        <v>98</v>
      </c>
      <c r="F14" s="1"/>
      <c r="G14" s="1"/>
      <c r="H14" s="1"/>
      <c r="I14" s="1"/>
      <c r="J14" s="1"/>
      <c r="K14" s="1"/>
    </row>
    <row r="15" spans="1:11" ht="281.25" thickBot="1" x14ac:dyDescent="0.3">
      <c r="A15" s="1" t="s">
        <v>129</v>
      </c>
      <c r="B15" s="1" t="s">
        <v>95</v>
      </c>
      <c r="C15" s="1" t="s">
        <v>130</v>
      </c>
      <c r="D15" s="1" t="s">
        <v>97</v>
      </c>
      <c r="E15" s="1" t="s">
        <v>98</v>
      </c>
      <c r="F15" s="1"/>
      <c r="G15" s="1"/>
      <c r="H15" s="1"/>
      <c r="I15" s="1"/>
      <c r="J15" s="1"/>
      <c r="K15" s="1"/>
    </row>
    <row r="16" spans="1:11" ht="15.75" thickBo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5.75" thickBot="1" x14ac:dyDescent="0.3">
      <c r="A17" s="1"/>
      <c r="B17" s="3"/>
      <c r="C17" s="1"/>
      <c r="D17" s="1"/>
      <c r="E17" s="1"/>
      <c r="F17" s="1"/>
      <c r="G17" s="3"/>
      <c r="H17" s="1"/>
      <c r="I17" s="1"/>
      <c r="J17" s="1"/>
      <c r="K17" s="1"/>
    </row>
    <row r="18" spans="1:11" ht="15.75" thickBot="1" x14ac:dyDescent="0.3">
      <c r="A18" s="1"/>
      <c r="B18" s="3"/>
      <c r="C18" s="1"/>
      <c r="D18" s="1"/>
      <c r="E18" s="1"/>
      <c r="F18" s="1"/>
      <c r="G18" s="3"/>
      <c r="H18" s="1"/>
      <c r="I18" s="1"/>
      <c r="J18" s="1"/>
      <c r="K18" s="1"/>
    </row>
    <row r="19" spans="1:11" ht="15.75" thickBot="1" x14ac:dyDescent="0.3">
      <c r="A19" s="1"/>
      <c r="B19" s="3"/>
      <c r="C19" s="1"/>
      <c r="D19" s="1"/>
      <c r="E19" s="1"/>
      <c r="F19" s="1"/>
      <c r="G19" s="3"/>
      <c r="H19" s="1"/>
      <c r="I19" s="1"/>
      <c r="J19" s="1"/>
      <c r="K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B2AEE-F00C-4C93-837C-C2258FA6FAF3}">
  <dimension ref="A1:I18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29.5703125" defaultRowHeight="15" x14ac:dyDescent="0.25"/>
  <cols>
    <col min="1" max="1" width="7.140625" style="89" customWidth="1"/>
    <col min="2" max="2" width="29.5703125" style="86"/>
    <col min="3" max="3" width="21.7109375" style="89" customWidth="1"/>
    <col min="4" max="4" width="23.28515625" style="89" customWidth="1"/>
    <col min="5" max="5" width="33" style="86" customWidth="1"/>
    <col min="6" max="6" width="24.7109375" style="89" customWidth="1"/>
    <col min="7" max="7" width="29.5703125" style="86"/>
    <col min="8" max="8" width="49.5703125" style="86" customWidth="1"/>
    <col min="9" max="16384" width="29.5703125" style="86"/>
  </cols>
  <sheetData>
    <row r="1" spans="1:9" ht="26.25" thickBot="1" x14ac:dyDescent="0.3">
      <c r="A1" s="82" t="s">
        <v>6</v>
      </c>
      <c r="B1" s="83" t="s">
        <v>0</v>
      </c>
      <c r="C1" s="84" t="s">
        <v>5</v>
      </c>
      <c r="D1" s="84" t="s">
        <v>1</v>
      </c>
      <c r="E1" s="83" t="s">
        <v>2</v>
      </c>
      <c r="F1" s="84" t="s">
        <v>3</v>
      </c>
      <c r="G1" s="85"/>
    </row>
    <row r="2" spans="1:9" ht="26.25" thickBot="1" x14ac:dyDescent="0.3">
      <c r="A2" s="87">
        <v>1</v>
      </c>
      <c r="B2" s="1" t="s">
        <v>146</v>
      </c>
      <c r="C2" s="3" t="s">
        <v>4</v>
      </c>
      <c r="D2" s="3" t="s">
        <v>147</v>
      </c>
      <c r="E2" s="1" t="s">
        <v>42</v>
      </c>
      <c r="F2" s="3" t="s">
        <v>148</v>
      </c>
      <c r="G2" s="1"/>
    </row>
    <row r="3" spans="1:9" ht="15.75" thickBot="1" x14ac:dyDescent="0.3">
      <c r="A3" s="87">
        <f t="shared" ref="A3:A14" si="0">+A2+1</f>
        <v>2</v>
      </c>
      <c r="B3" s="1" t="s">
        <v>149</v>
      </c>
      <c r="C3" s="3" t="s">
        <v>4</v>
      </c>
      <c r="D3" s="91">
        <v>38096</v>
      </c>
      <c r="E3" s="1" t="s">
        <v>28</v>
      </c>
      <c r="F3" s="3" t="s">
        <v>150</v>
      </c>
      <c r="G3" s="1"/>
    </row>
    <row r="4" spans="1:9" ht="15.75" thickBot="1" x14ac:dyDescent="0.3">
      <c r="A4" s="87">
        <f t="shared" si="0"/>
        <v>3</v>
      </c>
      <c r="B4" s="1" t="s">
        <v>144</v>
      </c>
      <c r="C4" s="3" t="s">
        <v>50</v>
      </c>
      <c r="D4" s="91">
        <v>40549</v>
      </c>
      <c r="E4" s="1" t="s">
        <v>31</v>
      </c>
      <c r="F4" s="3" t="s">
        <v>145</v>
      </c>
      <c r="G4" s="1"/>
    </row>
    <row r="5" spans="1:9" ht="26.25" thickBot="1" x14ac:dyDescent="0.3">
      <c r="A5" s="87">
        <f t="shared" si="0"/>
        <v>4</v>
      </c>
      <c r="B5" s="1" t="s">
        <v>151</v>
      </c>
      <c r="C5" s="3" t="s">
        <v>4</v>
      </c>
      <c r="D5" s="91">
        <v>42969</v>
      </c>
      <c r="E5" s="1" t="s">
        <v>30</v>
      </c>
      <c r="F5" s="3" t="s">
        <v>152</v>
      </c>
      <c r="G5" s="1"/>
    </row>
    <row r="6" spans="1:9" ht="26.25" thickBot="1" x14ac:dyDescent="0.3">
      <c r="A6" s="87">
        <f t="shared" si="0"/>
        <v>5</v>
      </c>
      <c r="B6" s="1" t="s">
        <v>153</v>
      </c>
      <c r="C6" s="3" t="s">
        <v>51</v>
      </c>
      <c r="D6" s="3" t="s">
        <v>154</v>
      </c>
      <c r="E6" s="1" t="s">
        <v>29</v>
      </c>
      <c r="F6" s="3" t="s">
        <v>155</v>
      </c>
      <c r="G6" s="1"/>
    </row>
    <row r="7" spans="1:9" ht="26.25" thickBot="1" x14ac:dyDescent="0.3">
      <c r="A7" s="87">
        <f t="shared" si="0"/>
        <v>6</v>
      </c>
      <c r="B7" s="1" t="s">
        <v>156</v>
      </c>
      <c r="C7" s="3" t="s">
        <v>52</v>
      </c>
      <c r="D7" s="91">
        <v>42969</v>
      </c>
      <c r="E7" s="1" t="s">
        <v>157</v>
      </c>
      <c r="F7" s="3" t="s">
        <v>158</v>
      </c>
      <c r="G7" s="1"/>
    </row>
    <row r="8" spans="1:9" ht="26.25" thickBot="1" x14ac:dyDescent="0.3">
      <c r="A8" s="87">
        <f t="shared" si="0"/>
        <v>7</v>
      </c>
      <c r="B8" s="1" t="s">
        <v>159</v>
      </c>
      <c r="C8" s="3" t="s">
        <v>136</v>
      </c>
      <c r="D8" s="3" t="s">
        <v>160</v>
      </c>
      <c r="E8" s="1" t="s">
        <v>53</v>
      </c>
      <c r="F8" s="3" t="s">
        <v>161</v>
      </c>
      <c r="G8" s="1"/>
    </row>
    <row r="9" spans="1:9" ht="26.25" thickBot="1" x14ac:dyDescent="0.3">
      <c r="A9" s="87">
        <f t="shared" si="0"/>
        <v>8</v>
      </c>
      <c r="B9" s="1" t="s">
        <v>162</v>
      </c>
      <c r="C9" s="3" t="s">
        <v>138</v>
      </c>
      <c r="D9" s="91">
        <v>40401</v>
      </c>
      <c r="E9" s="1" t="s">
        <v>163</v>
      </c>
      <c r="F9" s="3" t="s">
        <v>164</v>
      </c>
      <c r="G9" s="1"/>
    </row>
    <row r="10" spans="1:9" ht="26.25" thickBot="1" x14ac:dyDescent="0.3">
      <c r="A10" s="87">
        <f t="shared" si="0"/>
        <v>9</v>
      </c>
      <c r="B10" s="1" t="s">
        <v>165</v>
      </c>
      <c r="C10" s="3" t="s">
        <v>4</v>
      </c>
      <c r="D10" s="91">
        <v>41894</v>
      </c>
      <c r="E10" s="1" t="s">
        <v>56</v>
      </c>
      <c r="F10" s="3" t="s">
        <v>166</v>
      </c>
      <c r="G10" s="1"/>
    </row>
    <row r="11" spans="1:9" ht="26.25" thickBot="1" x14ac:dyDescent="0.3">
      <c r="A11" s="87">
        <f t="shared" si="0"/>
        <v>10</v>
      </c>
      <c r="B11" s="1" t="s">
        <v>167</v>
      </c>
      <c r="C11" s="3" t="s">
        <v>4</v>
      </c>
      <c r="D11" s="91">
        <v>42872</v>
      </c>
      <c r="E11" s="1" t="s">
        <v>86</v>
      </c>
      <c r="F11" s="3" t="s">
        <v>168</v>
      </c>
      <c r="G11" s="1"/>
    </row>
    <row r="12" spans="1:9" ht="26.25" thickBot="1" x14ac:dyDescent="0.3">
      <c r="A12" s="87">
        <f t="shared" si="0"/>
        <v>11</v>
      </c>
      <c r="B12" s="1" t="s">
        <v>169</v>
      </c>
      <c r="C12" s="3" t="s">
        <v>4</v>
      </c>
      <c r="D12" s="91">
        <v>43165</v>
      </c>
      <c r="E12" s="1" t="s">
        <v>54</v>
      </c>
      <c r="F12" s="3" t="s">
        <v>170</v>
      </c>
      <c r="G12" s="1"/>
    </row>
    <row r="13" spans="1:9" ht="15.75" thickBot="1" x14ac:dyDescent="0.3">
      <c r="A13" s="87">
        <f t="shared" si="0"/>
        <v>12</v>
      </c>
      <c r="B13" s="1" t="s">
        <v>57</v>
      </c>
      <c r="C13" s="3" t="s">
        <v>4</v>
      </c>
      <c r="D13" s="91">
        <v>43061</v>
      </c>
      <c r="E13" s="1" t="s">
        <v>55</v>
      </c>
      <c r="F13" s="3" t="s">
        <v>171</v>
      </c>
      <c r="G13" s="1"/>
    </row>
    <row r="14" spans="1:9" ht="26.25" thickBot="1" x14ac:dyDescent="0.3">
      <c r="A14" s="93">
        <f t="shared" si="0"/>
        <v>13</v>
      </c>
      <c r="B14" s="94" t="s">
        <v>172</v>
      </c>
      <c r="C14" s="95" t="s">
        <v>143</v>
      </c>
      <c r="D14" s="96">
        <v>40507</v>
      </c>
      <c r="E14" s="94" t="s">
        <v>173</v>
      </c>
      <c r="F14" s="95" t="s">
        <v>174</v>
      </c>
      <c r="G14" s="1"/>
      <c r="H14" s="5"/>
    </row>
    <row r="15" spans="1:9" ht="15.75" thickBot="1" x14ac:dyDescent="0.3">
      <c r="A15" s="87"/>
      <c r="B15" s="88"/>
      <c r="C15" s="90"/>
      <c r="D15" s="92"/>
      <c r="E15" s="88"/>
      <c r="F15" s="90"/>
      <c r="G15" s="85"/>
      <c r="H15" s="5"/>
    </row>
    <row r="16" spans="1:9" ht="15.75" thickBot="1" x14ac:dyDescent="0.3">
      <c r="A16" s="87"/>
      <c r="B16" s="88"/>
      <c r="C16" s="90"/>
      <c r="D16" s="92"/>
      <c r="E16" s="88"/>
      <c r="F16" s="90"/>
      <c r="G16" s="85"/>
      <c r="I16" s="5"/>
    </row>
    <row r="17" spans="1:9" ht="15.75" thickBot="1" x14ac:dyDescent="0.3">
      <c r="A17" s="87"/>
      <c r="B17" s="88"/>
      <c r="C17" s="90"/>
      <c r="D17" s="92"/>
      <c r="E17" s="88"/>
      <c r="F17" s="90"/>
      <c r="G17" s="85"/>
      <c r="I17" s="5"/>
    </row>
    <row r="18" spans="1:9" ht="15.75" thickBot="1" x14ac:dyDescent="0.3">
      <c r="A18" s="87"/>
      <c r="B18" s="88"/>
      <c r="C18" s="90"/>
      <c r="D18" s="92"/>
      <c r="E18" s="88"/>
      <c r="F18" s="90"/>
      <c r="G18" s="85"/>
      <c r="H18" s="5"/>
      <c r="I18" s="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ACF43-B668-45A4-987F-9A8372C8C316}">
  <dimension ref="A1:AD59"/>
  <sheetViews>
    <sheetView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49" sqref="E49"/>
    </sheetView>
  </sheetViews>
  <sheetFormatPr baseColWidth="10" defaultRowHeight="12.75" x14ac:dyDescent="0.25"/>
  <cols>
    <col min="1" max="1" width="16.140625" style="51" customWidth="1"/>
    <col min="2" max="2" width="12.28515625" style="52" customWidth="1"/>
    <col min="3" max="3" width="26.85546875" style="51" customWidth="1"/>
    <col min="4" max="4" width="13.7109375" style="303" customWidth="1"/>
    <col min="5" max="6" width="16.28515625" style="52" customWidth="1"/>
    <col min="7" max="7" width="8.42578125" style="52" customWidth="1"/>
    <col min="8" max="8" width="13.7109375" style="52" customWidth="1"/>
    <col min="9" max="9" width="13.7109375" style="54" customWidth="1"/>
    <col min="10" max="10" width="11.42578125" style="54"/>
    <col min="11" max="11" width="13.85546875" style="54" customWidth="1"/>
    <col min="12" max="12" width="11.42578125" style="52"/>
    <col min="13" max="13" width="11.42578125" style="53"/>
    <col min="14" max="14" width="14" style="52" customWidth="1"/>
    <col min="15" max="15" width="11.42578125" style="54"/>
    <col min="16" max="16" width="13" style="52" customWidth="1"/>
    <col min="17" max="17" width="11.42578125" style="52"/>
    <col min="18" max="19" width="11.42578125" style="51"/>
    <col min="20" max="20" width="13.85546875" style="52" customWidth="1"/>
    <col min="21" max="21" width="18.28515625" style="52" customWidth="1"/>
    <col min="22" max="22" width="11.42578125" style="52"/>
    <col min="23" max="23" width="19.140625" style="52" customWidth="1"/>
    <col min="24" max="24" width="1.42578125" style="138" customWidth="1"/>
    <col min="25" max="25" width="1.42578125" style="50" customWidth="1"/>
    <col min="26" max="26" width="6.85546875" style="136" customWidth="1"/>
    <col min="27" max="27" width="1.85546875" style="50" customWidth="1"/>
    <col min="28" max="28" width="14.28515625" style="136" customWidth="1"/>
    <col min="29" max="29" width="1.85546875" style="50" customWidth="1"/>
    <col min="30" max="30" width="20.42578125" style="136" customWidth="1"/>
    <col min="31" max="16384" width="11.42578125" style="51"/>
  </cols>
  <sheetData>
    <row r="1" spans="1:30" s="52" customFormat="1" ht="64.5" thickBot="1" x14ac:dyDescent="0.3">
      <c r="A1" s="139" t="s">
        <v>7</v>
      </c>
      <c r="B1" s="139" t="s">
        <v>8</v>
      </c>
      <c r="C1" s="139" t="s">
        <v>9</v>
      </c>
      <c r="D1" s="139" t="s">
        <v>10</v>
      </c>
      <c r="E1" s="139" t="s">
        <v>11</v>
      </c>
      <c r="F1" s="140" t="s">
        <v>12</v>
      </c>
      <c r="G1" s="140" t="s">
        <v>13</v>
      </c>
      <c r="H1" s="140" t="s">
        <v>14</v>
      </c>
      <c r="I1" s="141" t="s">
        <v>15</v>
      </c>
      <c r="J1" s="141" t="s">
        <v>16</v>
      </c>
      <c r="K1" s="280" t="s">
        <v>461</v>
      </c>
      <c r="L1" s="139"/>
      <c r="M1" s="124"/>
      <c r="N1" s="139" t="s">
        <v>17</v>
      </c>
      <c r="O1" s="141" t="s">
        <v>32</v>
      </c>
      <c r="P1" s="287" t="s">
        <v>18</v>
      </c>
      <c r="Q1" s="139" t="s">
        <v>19</v>
      </c>
      <c r="R1" s="139" t="s">
        <v>20</v>
      </c>
      <c r="S1" s="139" t="s">
        <v>21</v>
      </c>
      <c r="T1" s="287" t="s">
        <v>22</v>
      </c>
      <c r="U1" s="287" t="s">
        <v>23</v>
      </c>
      <c r="V1" s="287" t="s">
        <v>24</v>
      </c>
      <c r="W1" s="139" t="s">
        <v>25</v>
      </c>
      <c r="X1" s="137"/>
      <c r="Y1" s="137"/>
      <c r="Z1" s="135"/>
      <c r="AA1" s="137"/>
      <c r="AB1" s="135"/>
      <c r="AC1" s="137"/>
      <c r="AD1" s="135"/>
    </row>
    <row r="2" spans="1:30" ht="84" customHeight="1" thickTop="1" thickBot="1" x14ac:dyDescent="0.3">
      <c r="A2" s="142" t="s">
        <v>131</v>
      </c>
      <c r="B2" s="144" t="s">
        <v>462</v>
      </c>
      <c r="C2" s="144" t="s">
        <v>272</v>
      </c>
      <c r="D2" s="288" t="s">
        <v>176</v>
      </c>
      <c r="E2" s="144" t="s">
        <v>177</v>
      </c>
      <c r="F2" s="144">
        <v>20106987581</v>
      </c>
      <c r="G2" s="143" t="s">
        <v>27</v>
      </c>
      <c r="H2" s="144" t="s">
        <v>463</v>
      </c>
      <c r="I2" s="145">
        <v>45519</v>
      </c>
      <c r="J2" s="146">
        <v>45930</v>
      </c>
      <c r="K2" s="146"/>
      <c r="L2" s="147">
        <f>(J2-I2+1)/365</f>
        <v>1.1287671232876713</v>
      </c>
      <c r="M2" s="148"/>
      <c r="N2" s="144" t="s">
        <v>464</v>
      </c>
      <c r="O2" s="145">
        <v>45968</v>
      </c>
      <c r="P2" s="149"/>
      <c r="Q2" s="144">
        <v>2069</v>
      </c>
      <c r="R2" s="143" t="s">
        <v>178</v>
      </c>
      <c r="S2" s="144" t="s">
        <v>26</v>
      </c>
      <c r="T2" s="150"/>
      <c r="U2" s="151"/>
      <c r="V2" s="150"/>
      <c r="W2" s="144" t="s">
        <v>179</v>
      </c>
      <c r="X2" s="152"/>
      <c r="Y2" s="153"/>
      <c r="Z2" s="274"/>
      <c r="AA2" s="153"/>
      <c r="AB2" s="274"/>
      <c r="AC2" s="153"/>
      <c r="AD2" s="154"/>
    </row>
    <row r="3" spans="1:30" ht="84" customHeight="1" thickBot="1" x14ac:dyDescent="0.3">
      <c r="A3" s="155" t="s">
        <v>131</v>
      </c>
      <c r="B3" s="157" t="s">
        <v>465</v>
      </c>
      <c r="C3" s="157" t="s">
        <v>281</v>
      </c>
      <c r="D3" s="289" t="s">
        <v>180</v>
      </c>
      <c r="E3" s="157" t="s">
        <v>177</v>
      </c>
      <c r="F3" s="157">
        <v>20106987581</v>
      </c>
      <c r="G3" s="156" t="s">
        <v>27</v>
      </c>
      <c r="H3" s="157" t="s">
        <v>463</v>
      </c>
      <c r="I3" s="158">
        <v>44228</v>
      </c>
      <c r="J3" s="158">
        <v>44540</v>
      </c>
      <c r="K3" s="158"/>
      <c r="L3" s="159"/>
      <c r="M3" s="160"/>
      <c r="N3" s="157" t="s">
        <v>466</v>
      </c>
      <c r="O3" s="158">
        <v>44545</v>
      </c>
      <c r="P3" s="157"/>
      <c r="Q3" s="157" t="s">
        <v>181</v>
      </c>
      <c r="R3" s="156" t="s">
        <v>182</v>
      </c>
      <c r="S3" s="157" t="s">
        <v>26</v>
      </c>
      <c r="T3" s="157"/>
      <c r="U3" s="161"/>
      <c r="V3" s="157"/>
      <c r="W3" s="157" t="s">
        <v>179</v>
      </c>
      <c r="X3" s="162"/>
      <c r="Y3" s="163"/>
      <c r="Z3" s="273"/>
      <c r="AA3" s="163"/>
      <c r="AB3" s="273"/>
      <c r="AC3" s="163"/>
      <c r="AD3" s="164"/>
    </row>
    <row r="4" spans="1:30" ht="84" customHeight="1" thickBot="1" x14ac:dyDescent="0.3">
      <c r="A4" s="155" t="s">
        <v>131</v>
      </c>
      <c r="B4" s="157" t="s">
        <v>175</v>
      </c>
      <c r="C4" s="157" t="s">
        <v>183</v>
      </c>
      <c r="D4" s="289" t="s">
        <v>184</v>
      </c>
      <c r="E4" s="157" t="s">
        <v>467</v>
      </c>
      <c r="F4" s="157">
        <v>20601228247</v>
      </c>
      <c r="G4" s="156" t="s">
        <v>27</v>
      </c>
      <c r="H4" s="157" t="s">
        <v>463</v>
      </c>
      <c r="I4" s="158">
        <v>43217</v>
      </c>
      <c r="J4" s="158">
        <v>44196</v>
      </c>
      <c r="K4" s="268" t="s">
        <v>468</v>
      </c>
      <c r="L4" s="159"/>
      <c r="M4" s="160"/>
      <c r="N4" s="157" t="s">
        <v>469</v>
      </c>
      <c r="O4" s="158">
        <v>44202</v>
      </c>
      <c r="P4" s="157"/>
      <c r="Q4" s="157">
        <v>2072</v>
      </c>
      <c r="R4" s="156" t="s">
        <v>182</v>
      </c>
      <c r="S4" s="157" t="s">
        <v>187</v>
      </c>
      <c r="T4" s="157"/>
      <c r="U4" s="161"/>
      <c r="V4" s="157"/>
      <c r="W4" s="157" t="s">
        <v>179</v>
      </c>
      <c r="X4" s="162"/>
      <c r="Y4" s="163"/>
      <c r="Z4" s="273" t="s">
        <v>461</v>
      </c>
      <c r="AA4" s="163"/>
      <c r="AB4" s="273"/>
      <c r="AC4" s="163"/>
      <c r="AD4" s="164"/>
    </row>
    <row r="5" spans="1:30" ht="84" customHeight="1" thickBot="1" x14ac:dyDescent="0.3">
      <c r="A5" s="155" t="s">
        <v>131</v>
      </c>
      <c r="B5" s="157" t="s">
        <v>175</v>
      </c>
      <c r="C5" s="157" t="s">
        <v>185</v>
      </c>
      <c r="D5" s="289" t="s">
        <v>184</v>
      </c>
      <c r="E5" s="157" t="s">
        <v>470</v>
      </c>
      <c r="F5" s="157">
        <v>20106987581</v>
      </c>
      <c r="G5" s="156" t="s">
        <v>186</v>
      </c>
      <c r="H5" s="157" t="s">
        <v>463</v>
      </c>
      <c r="I5" s="158">
        <v>42901</v>
      </c>
      <c r="J5" s="158">
        <v>43216</v>
      </c>
      <c r="K5" s="158"/>
      <c r="L5" s="159"/>
      <c r="M5" s="160"/>
      <c r="N5" s="157" t="s">
        <v>471</v>
      </c>
      <c r="O5" s="158">
        <v>44202</v>
      </c>
      <c r="P5" s="157"/>
      <c r="Q5" s="157">
        <v>2078</v>
      </c>
      <c r="R5" s="156" t="s">
        <v>182</v>
      </c>
      <c r="S5" s="157" t="s">
        <v>187</v>
      </c>
      <c r="T5" s="157"/>
      <c r="U5" s="161"/>
      <c r="V5" s="157"/>
      <c r="W5" s="157" t="s">
        <v>179</v>
      </c>
      <c r="X5" s="162"/>
      <c r="Y5" s="163"/>
      <c r="Z5" s="273"/>
      <c r="AA5" s="163"/>
      <c r="AB5" s="273"/>
      <c r="AC5" s="163"/>
      <c r="AD5" s="164"/>
    </row>
    <row r="6" spans="1:30" ht="51.75" thickBot="1" x14ac:dyDescent="0.3">
      <c r="A6" s="165" t="s">
        <v>132</v>
      </c>
      <c r="B6" s="167" t="s">
        <v>188</v>
      </c>
      <c r="C6" s="167" t="s">
        <v>472</v>
      </c>
      <c r="D6" s="290" t="s">
        <v>28</v>
      </c>
      <c r="E6" s="167" t="s">
        <v>189</v>
      </c>
      <c r="F6" s="167">
        <v>20612542873</v>
      </c>
      <c r="G6" s="166" t="s">
        <v>27</v>
      </c>
      <c r="H6" s="167" t="s">
        <v>463</v>
      </c>
      <c r="I6" s="168">
        <v>45667</v>
      </c>
      <c r="J6" s="168">
        <v>46068</v>
      </c>
      <c r="K6" s="168"/>
      <c r="L6" s="169"/>
      <c r="M6" s="170"/>
      <c r="N6" s="167" t="s">
        <v>473</v>
      </c>
      <c r="O6" s="168">
        <v>46068</v>
      </c>
      <c r="P6" s="167"/>
      <c r="Q6" s="167">
        <v>2084</v>
      </c>
      <c r="R6" s="166" t="s">
        <v>190</v>
      </c>
      <c r="S6" s="167" t="s">
        <v>62</v>
      </c>
      <c r="T6" s="167"/>
      <c r="U6" s="171"/>
      <c r="V6" s="167"/>
      <c r="W6" s="167" t="s">
        <v>65</v>
      </c>
      <c r="X6" s="162"/>
      <c r="Y6" s="163"/>
      <c r="Z6" s="275"/>
      <c r="AA6" s="163"/>
      <c r="AB6" s="275"/>
      <c r="AC6" s="163"/>
      <c r="AD6" s="172"/>
    </row>
    <row r="7" spans="1:30" ht="39" thickBot="1" x14ac:dyDescent="0.3">
      <c r="A7" s="165" t="s">
        <v>132</v>
      </c>
      <c r="B7" s="167" t="s">
        <v>188</v>
      </c>
      <c r="C7" s="167" t="s">
        <v>474</v>
      </c>
      <c r="D7" s="290" t="s">
        <v>191</v>
      </c>
      <c r="E7" s="167" t="s">
        <v>192</v>
      </c>
      <c r="F7" s="167">
        <v>20612206610</v>
      </c>
      <c r="G7" s="166" t="s">
        <v>27</v>
      </c>
      <c r="H7" s="167" t="s">
        <v>463</v>
      </c>
      <c r="I7" s="168">
        <v>45429</v>
      </c>
      <c r="J7" s="168">
        <v>45657</v>
      </c>
      <c r="K7" s="168"/>
      <c r="L7" s="169"/>
      <c r="M7" s="170"/>
      <c r="N7" s="167" t="s">
        <v>475</v>
      </c>
      <c r="O7" s="168" t="s">
        <v>476</v>
      </c>
      <c r="P7" s="167"/>
      <c r="Q7" s="167">
        <v>2085</v>
      </c>
      <c r="R7" s="166" t="s">
        <v>193</v>
      </c>
      <c r="S7" s="167" t="s">
        <v>62</v>
      </c>
      <c r="T7" s="167"/>
      <c r="U7" s="171"/>
      <c r="V7" s="167"/>
      <c r="W7" s="167" t="s">
        <v>65</v>
      </c>
      <c r="X7" s="162"/>
      <c r="Y7" s="163"/>
      <c r="Z7" s="275"/>
      <c r="AA7" s="163"/>
      <c r="AB7" s="275"/>
      <c r="AC7" s="163"/>
      <c r="AD7" s="172"/>
    </row>
    <row r="8" spans="1:30" ht="51.75" thickBot="1" x14ac:dyDescent="0.3">
      <c r="A8" s="165" t="s">
        <v>132</v>
      </c>
      <c r="B8" s="167" t="s">
        <v>194</v>
      </c>
      <c r="C8" s="167" t="s">
        <v>477</v>
      </c>
      <c r="D8" s="290" t="s">
        <v>304</v>
      </c>
      <c r="E8" s="167" t="s">
        <v>478</v>
      </c>
      <c r="F8" s="167">
        <v>20515802658</v>
      </c>
      <c r="G8" s="166" t="s">
        <v>27</v>
      </c>
      <c r="H8" s="167" t="s">
        <v>463</v>
      </c>
      <c r="I8" s="168">
        <v>44839</v>
      </c>
      <c r="J8" s="168">
        <v>45412</v>
      </c>
      <c r="K8" s="168"/>
      <c r="L8" s="169"/>
      <c r="M8" s="170"/>
      <c r="N8" s="167" t="s">
        <v>479</v>
      </c>
      <c r="O8" s="168">
        <v>45443</v>
      </c>
      <c r="P8" s="167"/>
      <c r="Q8" s="167">
        <v>2086</v>
      </c>
      <c r="R8" s="166" t="s">
        <v>195</v>
      </c>
      <c r="S8" s="167" t="s">
        <v>196</v>
      </c>
      <c r="T8" s="167"/>
      <c r="U8" s="171"/>
      <c r="V8" s="167"/>
      <c r="W8" s="167" t="s">
        <v>197</v>
      </c>
      <c r="X8" s="162"/>
      <c r="Y8" s="163"/>
      <c r="Z8" s="275"/>
      <c r="AA8" s="163"/>
      <c r="AB8" s="275"/>
      <c r="AC8" s="163"/>
      <c r="AD8" s="172"/>
    </row>
    <row r="9" spans="1:30" ht="64.5" thickBot="1" x14ac:dyDescent="0.3">
      <c r="A9" s="165" t="s">
        <v>132</v>
      </c>
      <c r="B9" s="167" t="s">
        <v>198</v>
      </c>
      <c r="C9" s="167" t="s">
        <v>308</v>
      </c>
      <c r="D9" s="290" t="s">
        <v>28</v>
      </c>
      <c r="E9" s="167" t="s">
        <v>40</v>
      </c>
      <c r="F9" s="167" t="s">
        <v>480</v>
      </c>
      <c r="G9" s="166" t="s">
        <v>27</v>
      </c>
      <c r="H9" s="167" t="s">
        <v>463</v>
      </c>
      <c r="I9" s="168">
        <v>43726</v>
      </c>
      <c r="J9" s="168">
        <v>44834</v>
      </c>
      <c r="K9" s="269" t="s">
        <v>468</v>
      </c>
      <c r="L9" s="169"/>
      <c r="M9" s="170"/>
      <c r="N9" s="167" t="s">
        <v>481</v>
      </c>
      <c r="O9" s="168">
        <v>45426</v>
      </c>
      <c r="P9" s="167"/>
      <c r="Q9" s="167">
        <v>2100</v>
      </c>
      <c r="R9" s="166" t="s">
        <v>199</v>
      </c>
      <c r="S9" s="167" t="s">
        <v>26</v>
      </c>
      <c r="T9" s="167"/>
      <c r="U9" s="171"/>
      <c r="V9" s="167"/>
      <c r="W9" s="167" t="s">
        <v>482</v>
      </c>
      <c r="X9" s="162"/>
      <c r="Y9" s="163"/>
      <c r="Z9" s="275" t="s">
        <v>461</v>
      </c>
      <c r="AA9" s="163"/>
      <c r="AB9" s="275"/>
      <c r="AC9" s="163"/>
      <c r="AD9" s="172"/>
    </row>
    <row r="10" spans="1:30" ht="77.25" thickBot="1" x14ac:dyDescent="0.3">
      <c r="A10" s="173" t="s">
        <v>483</v>
      </c>
      <c r="B10" s="175" t="s">
        <v>484</v>
      </c>
      <c r="C10" s="175" t="s">
        <v>200</v>
      </c>
      <c r="D10" s="291" t="s">
        <v>45</v>
      </c>
      <c r="E10" s="175" t="s">
        <v>485</v>
      </c>
      <c r="F10" s="175">
        <v>20601116082</v>
      </c>
      <c r="G10" s="174" t="s">
        <v>27</v>
      </c>
      <c r="H10" s="175" t="s">
        <v>219</v>
      </c>
      <c r="I10" s="176">
        <v>45292</v>
      </c>
      <c r="J10" s="176">
        <v>45747</v>
      </c>
      <c r="K10" s="176"/>
      <c r="L10" s="177"/>
      <c r="M10" s="178"/>
      <c r="N10" s="175" t="s">
        <v>486</v>
      </c>
      <c r="O10" s="176">
        <v>45747</v>
      </c>
      <c r="P10" s="175"/>
      <c r="Q10" s="175">
        <v>2106</v>
      </c>
      <c r="R10" s="174" t="s">
        <v>201</v>
      </c>
      <c r="S10" s="175" t="s">
        <v>44</v>
      </c>
      <c r="T10" s="175"/>
      <c r="U10" s="179">
        <v>42459</v>
      </c>
      <c r="V10" s="175"/>
      <c r="W10" s="175" t="s">
        <v>65</v>
      </c>
      <c r="X10" s="162"/>
      <c r="Y10" s="163"/>
      <c r="Z10" s="243"/>
      <c r="AA10" s="163"/>
      <c r="AB10" s="243"/>
      <c r="AC10" s="163"/>
      <c r="AD10" s="180"/>
    </row>
    <row r="11" spans="1:30" ht="64.5" thickBot="1" x14ac:dyDescent="0.3">
      <c r="A11" s="173" t="s">
        <v>483</v>
      </c>
      <c r="B11" s="175" t="s">
        <v>484</v>
      </c>
      <c r="C11" s="175" t="s">
        <v>202</v>
      </c>
      <c r="D11" s="291" t="s">
        <v>45</v>
      </c>
      <c r="E11" s="175" t="s">
        <v>64</v>
      </c>
      <c r="F11" s="175">
        <v>20602979173</v>
      </c>
      <c r="G11" s="174" t="s">
        <v>27</v>
      </c>
      <c r="H11" s="175" t="s">
        <v>219</v>
      </c>
      <c r="I11" s="176">
        <v>44866</v>
      </c>
      <c r="J11" s="176">
        <v>45046</v>
      </c>
      <c r="K11" s="176"/>
      <c r="L11" s="177"/>
      <c r="M11" s="178"/>
      <c r="N11" s="175" t="s">
        <v>487</v>
      </c>
      <c r="O11" s="176">
        <v>45046</v>
      </c>
      <c r="P11" s="175"/>
      <c r="Q11" s="175">
        <v>2107</v>
      </c>
      <c r="R11" s="174" t="s">
        <v>47</v>
      </c>
      <c r="S11" s="175" t="s">
        <v>49</v>
      </c>
      <c r="T11" s="175"/>
      <c r="U11" s="175" t="s">
        <v>488</v>
      </c>
      <c r="V11" s="175"/>
      <c r="W11" s="175" t="s">
        <v>65</v>
      </c>
      <c r="X11" s="162"/>
      <c r="Y11" s="163"/>
      <c r="Z11" s="243"/>
      <c r="AA11" s="163"/>
      <c r="AB11" s="243"/>
      <c r="AC11" s="163"/>
      <c r="AD11" s="180"/>
    </row>
    <row r="12" spans="1:30" ht="77.25" thickBot="1" x14ac:dyDescent="0.3">
      <c r="A12" s="173" t="s">
        <v>483</v>
      </c>
      <c r="B12" s="175" t="s">
        <v>484</v>
      </c>
      <c r="C12" s="175" t="s">
        <v>489</v>
      </c>
      <c r="D12" s="291" t="s">
        <v>490</v>
      </c>
      <c r="E12" s="175" t="s">
        <v>204</v>
      </c>
      <c r="F12" s="175">
        <v>15552917992</v>
      </c>
      <c r="G12" s="174" t="s">
        <v>27</v>
      </c>
      <c r="H12" s="175" t="s">
        <v>219</v>
      </c>
      <c r="I12" s="176">
        <v>44075</v>
      </c>
      <c r="J12" s="176">
        <v>44668</v>
      </c>
      <c r="K12" s="176"/>
      <c r="L12" s="177"/>
      <c r="M12" s="178"/>
      <c r="N12" s="175" t="s">
        <v>491</v>
      </c>
      <c r="O12" s="176">
        <v>44873</v>
      </c>
      <c r="P12" s="175"/>
      <c r="Q12" s="175">
        <v>2108</v>
      </c>
      <c r="R12" s="174" t="s">
        <v>492</v>
      </c>
      <c r="S12" s="175" t="s">
        <v>26</v>
      </c>
      <c r="T12" s="175"/>
      <c r="U12" s="175" t="s">
        <v>493</v>
      </c>
      <c r="V12" s="175"/>
      <c r="W12" s="175" t="s">
        <v>66</v>
      </c>
      <c r="X12" s="162"/>
      <c r="Y12" s="163"/>
      <c r="Z12" s="243"/>
      <c r="AA12" s="163"/>
      <c r="AB12" s="243"/>
      <c r="AC12" s="163"/>
      <c r="AD12" s="180"/>
    </row>
    <row r="13" spans="1:30" ht="51.75" thickBot="1" x14ac:dyDescent="0.3">
      <c r="A13" s="173" t="s">
        <v>483</v>
      </c>
      <c r="B13" s="175" t="s">
        <v>484</v>
      </c>
      <c r="C13" s="175" t="s">
        <v>494</v>
      </c>
      <c r="D13" s="291" t="s">
        <v>45</v>
      </c>
      <c r="E13" s="175" t="s">
        <v>495</v>
      </c>
      <c r="F13" s="175">
        <v>20538282996</v>
      </c>
      <c r="G13" s="174" t="s">
        <v>27</v>
      </c>
      <c r="H13" s="175" t="s">
        <v>219</v>
      </c>
      <c r="I13" s="176">
        <v>43223</v>
      </c>
      <c r="J13" s="176">
        <v>44074</v>
      </c>
      <c r="K13" s="270" t="s">
        <v>468</v>
      </c>
      <c r="L13" s="177"/>
      <c r="M13" s="178"/>
      <c r="N13" s="175" t="s">
        <v>496</v>
      </c>
      <c r="O13" s="176">
        <v>44074</v>
      </c>
      <c r="P13" s="175"/>
      <c r="Q13" s="175">
        <v>2109</v>
      </c>
      <c r="R13" s="174" t="s">
        <v>206</v>
      </c>
      <c r="S13" s="175" t="s">
        <v>497</v>
      </c>
      <c r="T13" s="175"/>
      <c r="U13" s="175" t="s">
        <v>498</v>
      </c>
      <c r="V13" s="175"/>
      <c r="W13" s="175" t="s">
        <v>65</v>
      </c>
      <c r="X13" s="162"/>
      <c r="Y13" s="163"/>
      <c r="Z13" s="243" t="s">
        <v>461</v>
      </c>
      <c r="AA13" s="163"/>
      <c r="AB13" s="243"/>
      <c r="AC13" s="163"/>
      <c r="AD13" s="180"/>
    </row>
    <row r="14" spans="1:30" ht="90" thickBot="1" x14ac:dyDescent="0.3">
      <c r="A14" s="181" t="s">
        <v>499</v>
      </c>
      <c r="B14" s="183" t="s">
        <v>500</v>
      </c>
      <c r="C14" s="183" t="s">
        <v>208</v>
      </c>
      <c r="D14" s="292" t="s">
        <v>209</v>
      </c>
      <c r="E14" s="183" t="s">
        <v>210</v>
      </c>
      <c r="F14" s="183" t="s">
        <v>501</v>
      </c>
      <c r="G14" s="182" t="s">
        <v>27</v>
      </c>
      <c r="H14" s="183" t="s">
        <v>219</v>
      </c>
      <c r="I14" s="184">
        <v>45323</v>
      </c>
      <c r="J14" s="184">
        <v>45922</v>
      </c>
      <c r="K14" s="184"/>
      <c r="L14" s="185"/>
      <c r="M14" s="186"/>
      <c r="N14" s="183" t="s">
        <v>502</v>
      </c>
      <c r="O14" s="184">
        <v>45932</v>
      </c>
      <c r="P14" s="183"/>
      <c r="Q14" s="183">
        <v>2126</v>
      </c>
      <c r="R14" s="182" t="s">
        <v>503</v>
      </c>
      <c r="S14" s="183" t="s">
        <v>504</v>
      </c>
      <c r="T14" s="183"/>
      <c r="U14" s="183" t="s">
        <v>505</v>
      </c>
      <c r="V14" s="183"/>
      <c r="W14" s="183" t="s">
        <v>211</v>
      </c>
      <c r="X14" s="162"/>
      <c r="Y14" s="163"/>
      <c r="Z14" s="276"/>
      <c r="AA14" s="163"/>
      <c r="AB14" s="276"/>
      <c r="AC14" s="163"/>
      <c r="AD14" s="187"/>
    </row>
    <row r="15" spans="1:30" ht="64.5" thickBot="1" x14ac:dyDescent="0.3">
      <c r="A15" s="181" t="s">
        <v>499</v>
      </c>
      <c r="B15" s="183" t="s">
        <v>500</v>
      </c>
      <c r="C15" s="183" t="s">
        <v>506</v>
      </c>
      <c r="D15" s="292" t="s">
        <v>212</v>
      </c>
      <c r="E15" s="183" t="s">
        <v>213</v>
      </c>
      <c r="F15" s="183" t="s">
        <v>501</v>
      </c>
      <c r="G15" s="182" t="s">
        <v>27</v>
      </c>
      <c r="H15" s="183" t="s">
        <v>219</v>
      </c>
      <c r="I15" s="184">
        <v>44798</v>
      </c>
      <c r="J15" s="184">
        <v>45254</v>
      </c>
      <c r="K15" s="184"/>
      <c r="L15" s="185"/>
      <c r="M15" s="186"/>
      <c r="N15" s="183" t="s">
        <v>507</v>
      </c>
      <c r="O15" s="184">
        <v>45254</v>
      </c>
      <c r="P15" s="183"/>
      <c r="Q15" s="183">
        <v>2125</v>
      </c>
      <c r="R15" s="182" t="s">
        <v>214</v>
      </c>
      <c r="S15" s="183" t="s">
        <v>497</v>
      </c>
      <c r="T15" s="183"/>
      <c r="U15" s="183" t="s">
        <v>508</v>
      </c>
      <c r="V15" s="183"/>
      <c r="W15" s="183" t="s">
        <v>59</v>
      </c>
      <c r="X15" s="162"/>
      <c r="Y15" s="163"/>
      <c r="Z15" s="276"/>
      <c r="AA15" s="163"/>
      <c r="AB15" s="276"/>
      <c r="AC15" s="163"/>
      <c r="AD15" s="187"/>
    </row>
    <row r="16" spans="1:30" ht="51.75" thickBot="1" x14ac:dyDescent="0.3">
      <c r="A16" s="181" t="s">
        <v>499</v>
      </c>
      <c r="B16" s="183" t="s">
        <v>500</v>
      </c>
      <c r="C16" s="183" t="s">
        <v>215</v>
      </c>
      <c r="D16" s="292" t="s">
        <v>212</v>
      </c>
      <c r="E16" s="183" t="s">
        <v>216</v>
      </c>
      <c r="F16" s="183">
        <v>20393066386</v>
      </c>
      <c r="G16" s="182" t="s">
        <v>27</v>
      </c>
      <c r="H16" s="183" t="s">
        <v>219</v>
      </c>
      <c r="I16" s="184">
        <v>43441</v>
      </c>
      <c r="J16" s="184">
        <v>44157</v>
      </c>
      <c r="K16" s="271" t="s">
        <v>468</v>
      </c>
      <c r="L16" s="185"/>
      <c r="M16" s="186"/>
      <c r="N16" s="183" t="s">
        <v>509</v>
      </c>
      <c r="O16" s="184">
        <v>44165</v>
      </c>
      <c r="P16" s="183"/>
      <c r="Q16" s="183">
        <v>2115</v>
      </c>
      <c r="R16" s="182" t="s">
        <v>510</v>
      </c>
      <c r="S16" s="183" t="s">
        <v>511</v>
      </c>
      <c r="T16" s="304" t="s">
        <v>226</v>
      </c>
      <c r="U16" s="183" t="s">
        <v>512</v>
      </c>
      <c r="V16" s="183"/>
      <c r="W16" s="183" t="s">
        <v>217</v>
      </c>
      <c r="X16" s="162"/>
      <c r="Y16" s="163"/>
      <c r="Z16" s="276" t="s">
        <v>461</v>
      </c>
      <c r="AA16" s="163"/>
      <c r="AB16" s="276" t="s">
        <v>629</v>
      </c>
      <c r="AC16" s="163"/>
      <c r="AD16" s="187"/>
    </row>
    <row r="17" spans="1:30" ht="115.5" thickBot="1" x14ac:dyDescent="0.3">
      <c r="A17" s="188" t="s">
        <v>133</v>
      </c>
      <c r="B17" s="190">
        <v>10809150</v>
      </c>
      <c r="C17" s="190" t="s">
        <v>513</v>
      </c>
      <c r="D17" s="293" t="s">
        <v>218</v>
      </c>
      <c r="E17" s="190" t="s">
        <v>64</v>
      </c>
      <c r="F17" s="190">
        <v>20602979173</v>
      </c>
      <c r="G17" s="189" t="s">
        <v>27</v>
      </c>
      <c r="H17" s="190" t="s">
        <v>219</v>
      </c>
      <c r="I17" s="191">
        <v>44687</v>
      </c>
      <c r="J17" s="191">
        <v>45505</v>
      </c>
      <c r="K17" s="191"/>
      <c r="L17" s="192"/>
      <c r="M17" s="193"/>
      <c r="N17" s="190" t="s">
        <v>514</v>
      </c>
      <c r="O17" s="191">
        <v>45505</v>
      </c>
      <c r="P17" s="190"/>
      <c r="Q17" s="190">
        <v>2135</v>
      </c>
      <c r="R17" s="189" t="s">
        <v>47</v>
      </c>
      <c r="S17" s="194" t="s">
        <v>49</v>
      </c>
      <c r="T17" s="190"/>
      <c r="U17" s="190"/>
      <c r="V17" s="190"/>
      <c r="W17" s="190" t="s">
        <v>515</v>
      </c>
      <c r="X17" s="162"/>
      <c r="Y17" s="163"/>
      <c r="Z17" s="234"/>
      <c r="AA17" s="163"/>
      <c r="AB17" s="234"/>
      <c r="AC17" s="163"/>
      <c r="AD17" s="195"/>
    </row>
    <row r="18" spans="1:30" ht="102.75" thickBot="1" x14ac:dyDescent="0.3">
      <c r="A18" s="188" t="s">
        <v>133</v>
      </c>
      <c r="B18" s="190">
        <v>10809150</v>
      </c>
      <c r="C18" s="190" t="s">
        <v>516</v>
      </c>
      <c r="D18" s="293" t="s">
        <v>218</v>
      </c>
      <c r="E18" s="190" t="s">
        <v>46</v>
      </c>
      <c r="F18" s="190">
        <v>20606859652</v>
      </c>
      <c r="G18" s="189" t="s">
        <v>27</v>
      </c>
      <c r="H18" s="190" t="s">
        <v>219</v>
      </c>
      <c r="I18" s="191">
        <v>44166</v>
      </c>
      <c r="J18" s="191">
        <v>44650</v>
      </c>
      <c r="K18" s="191"/>
      <c r="L18" s="192"/>
      <c r="M18" s="193"/>
      <c r="N18" s="190" t="s">
        <v>517</v>
      </c>
      <c r="O18" s="191">
        <v>44650</v>
      </c>
      <c r="P18" s="190"/>
      <c r="Q18" s="190">
        <v>2133</v>
      </c>
      <c r="R18" s="189" t="s">
        <v>220</v>
      </c>
      <c r="S18" s="194" t="s">
        <v>62</v>
      </c>
      <c r="T18" s="190"/>
      <c r="U18" s="190"/>
      <c r="V18" s="190"/>
      <c r="W18" s="190" t="s">
        <v>518</v>
      </c>
      <c r="X18" s="162"/>
      <c r="Y18" s="163"/>
      <c r="Z18" s="234"/>
      <c r="AA18" s="163"/>
      <c r="AB18" s="234"/>
      <c r="AC18" s="163"/>
      <c r="AD18" s="195"/>
    </row>
    <row r="19" spans="1:30" ht="128.25" thickBot="1" x14ac:dyDescent="0.3">
      <c r="A19" s="196" t="s">
        <v>134</v>
      </c>
      <c r="B19" s="198">
        <v>21577224</v>
      </c>
      <c r="C19" s="198" t="s">
        <v>519</v>
      </c>
      <c r="D19" s="294" t="s">
        <v>221</v>
      </c>
      <c r="E19" s="198" t="s">
        <v>222</v>
      </c>
      <c r="F19" s="198">
        <v>20606391812</v>
      </c>
      <c r="G19" s="197" t="s">
        <v>27</v>
      </c>
      <c r="H19" s="198" t="s">
        <v>219</v>
      </c>
      <c r="I19" s="199">
        <v>45413</v>
      </c>
      <c r="J19" s="199">
        <v>45535</v>
      </c>
      <c r="K19" s="199"/>
      <c r="L19" s="200"/>
      <c r="M19" s="201"/>
      <c r="N19" s="198" t="s">
        <v>223</v>
      </c>
      <c r="O19" s="199">
        <v>45644</v>
      </c>
      <c r="P19" s="198"/>
      <c r="Q19" s="198">
        <v>2140</v>
      </c>
      <c r="R19" s="197" t="s">
        <v>224</v>
      </c>
      <c r="S19" s="198" t="s">
        <v>520</v>
      </c>
      <c r="T19" s="305" t="s">
        <v>226</v>
      </c>
      <c r="U19" s="198"/>
      <c r="V19" s="198"/>
      <c r="W19" s="198" t="s">
        <v>521</v>
      </c>
      <c r="X19" s="162"/>
      <c r="Y19" s="163"/>
      <c r="Z19" s="277"/>
      <c r="AA19" s="163"/>
      <c r="AB19" s="277"/>
      <c r="AC19" s="163"/>
      <c r="AD19" s="202"/>
    </row>
    <row r="20" spans="1:30" ht="102.75" thickBot="1" x14ac:dyDescent="0.3">
      <c r="A20" s="196" t="s">
        <v>134</v>
      </c>
      <c r="B20" s="198">
        <v>21577224</v>
      </c>
      <c r="C20" s="198" t="s">
        <v>522</v>
      </c>
      <c r="D20" s="294" t="s">
        <v>227</v>
      </c>
      <c r="E20" s="198" t="s">
        <v>228</v>
      </c>
      <c r="F20" s="198">
        <v>20606763485</v>
      </c>
      <c r="G20" s="197" t="s">
        <v>27</v>
      </c>
      <c r="H20" s="198" t="s">
        <v>219</v>
      </c>
      <c r="I20" s="199">
        <v>44835</v>
      </c>
      <c r="J20" s="199">
        <v>45351</v>
      </c>
      <c r="K20" s="199"/>
      <c r="L20" s="200"/>
      <c r="M20" s="201"/>
      <c r="N20" s="198" t="s">
        <v>523</v>
      </c>
      <c r="O20" s="199">
        <v>45352</v>
      </c>
      <c r="P20" s="198"/>
      <c r="Q20" s="198">
        <v>2141</v>
      </c>
      <c r="R20" s="197" t="s">
        <v>229</v>
      </c>
      <c r="S20" s="198" t="s">
        <v>62</v>
      </c>
      <c r="T20" s="198"/>
      <c r="U20" s="198"/>
      <c r="V20" s="198"/>
      <c r="W20" s="198" t="s">
        <v>524</v>
      </c>
      <c r="X20" s="162"/>
      <c r="Y20" s="163"/>
      <c r="Z20" s="277"/>
      <c r="AA20" s="163"/>
      <c r="AB20" s="277"/>
      <c r="AC20" s="163"/>
      <c r="AD20" s="202"/>
    </row>
    <row r="21" spans="1:30" ht="77.25" thickBot="1" x14ac:dyDescent="0.3">
      <c r="A21" s="196" t="s">
        <v>134</v>
      </c>
      <c r="B21" s="198">
        <v>21577224</v>
      </c>
      <c r="C21" s="198" t="s">
        <v>525</v>
      </c>
      <c r="D21" s="294" t="s">
        <v>231</v>
      </c>
      <c r="E21" s="198" t="s">
        <v>526</v>
      </c>
      <c r="F21" s="198" t="s">
        <v>527</v>
      </c>
      <c r="G21" s="197" t="s">
        <v>27</v>
      </c>
      <c r="H21" s="198" t="s">
        <v>61</v>
      </c>
      <c r="I21" s="199">
        <v>42685</v>
      </c>
      <c r="J21" s="199">
        <v>43083</v>
      </c>
      <c r="K21" s="199"/>
      <c r="L21" s="200"/>
      <c r="M21" s="201"/>
      <c r="N21" s="198" t="s">
        <v>528</v>
      </c>
      <c r="O21" s="199">
        <v>43084</v>
      </c>
      <c r="P21" s="198"/>
      <c r="Q21" s="198">
        <v>2142</v>
      </c>
      <c r="R21" s="197" t="s">
        <v>232</v>
      </c>
      <c r="S21" s="198" t="s">
        <v>233</v>
      </c>
      <c r="T21" s="305" t="s">
        <v>226</v>
      </c>
      <c r="U21" s="198"/>
      <c r="V21" s="198"/>
      <c r="W21" s="198" t="s">
        <v>524</v>
      </c>
      <c r="X21" s="162"/>
      <c r="Y21" s="163"/>
      <c r="Z21" s="277"/>
      <c r="AA21" s="163"/>
      <c r="AB21" s="277"/>
      <c r="AC21" s="163"/>
      <c r="AD21" s="202"/>
    </row>
    <row r="22" spans="1:30" ht="77.25" thickBot="1" x14ac:dyDescent="0.3">
      <c r="A22" s="196" t="s">
        <v>134</v>
      </c>
      <c r="B22" s="198">
        <v>21577224</v>
      </c>
      <c r="C22" s="198" t="s">
        <v>529</v>
      </c>
      <c r="D22" s="294" t="s">
        <v>234</v>
      </c>
      <c r="E22" s="198" t="s">
        <v>235</v>
      </c>
      <c r="F22" s="198">
        <v>20556001040</v>
      </c>
      <c r="G22" s="197" t="s">
        <v>27</v>
      </c>
      <c r="H22" s="198" t="s">
        <v>219</v>
      </c>
      <c r="I22" s="199">
        <v>42541</v>
      </c>
      <c r="J22" s="199">
        <v>42674</v>
      </c>
      <c r="K22" s="199"/>
      <c r="L22" s="200"/>
      <c r="M22" s="201"/>
      <c r="N22" s="198" t="s">
        <v>223</v>
      </c>
      <c r="O22" s="199">
        <v>42674</v>
      </c>
      <c r="P22" s="198"/>
      <c r="Q22" s="198">
        <v>2143</v>
      </c>
      <c r="R22" s="197" t="s">
        <v>236</v>
      </c>
      <c r="S22" s="198" t="s">
        <v>49</v>
      </c>
      <c r="T22" s="198"/>
      <c r="U22" s="198"/>
      <c r="V22" s="198"/>
      <c r="W22" s="198" t="s">
        <v>524</v>
      </c>
      <c r="X22" s="162"/>
      <c r="Y22" s="163"/>
      <c r="Z22" s="277"/>
      <c r="AA22" s="163"/>
      <c r="AB22" s="277"/>
      <c r="AC22" s="163"/>
      <c r="AD22" s="202"/>
    </row>
    <row r="23" spans="1:30" ht="77.25" thickBot="1" x14ac:dyDescent="0.3">
      <c r="A23" s="196" t="s">
        <v>134</v>
      </c>
      <c r="B23" s="198">
        <v>21577224</v>
      </c>
      <c r="C23" s="198" t="s">
        <v>530</v>
      </c>
      <c r="D23" s="294" t="s">
        <v>238</v>
      </c>
      <c r="E23" s="198" t="s">
        <v>239</v>
      </c>
      <c r="F23" s="198">
        <v>20547385871</v>
      </c>
      <c r="G23" s="197" t="s">
        <v>27</v>
      </c>
      <c r="H23" s="198" t="s">
        <v>219</v>
      </c>
      <c r="I23" s="199">
        <v>41334</v>
      </c>
      <c r="J23" s="199">
        <v>41692</v>
      </c>
      <c r="K23" s="199"/>
      <c r="L23" s="200"/>
      <c r="M23" s="201"/>
      <c r="N23" s="198" t="s">
        <v>531</v>
      </c>
      <c r="O23" s="199">
        <v>41694</v>
      </c>
      <c r="P23" s="198"/>
      <c r="Q23" s="198">
        <v>2144</v>
      </c>
      <c r="R23" s="197" t="s">
        <v>532</v>
      </c>
      <c r="S23" s="198" t="s">
        <v>26</v>
      </c>
      <c r="T23" s="198"/>
      <c r="U23" s="198"/>
      <c r="V23" s="198"/>
      <c r="W23" s="198" t="s">
        <v>524</v>
      </c>
      <c r="X23" s="162"/>
      <c r="Y23" s="163"/>
      <c r="Z23" s="277"/>
      <c r="AA23" s="163"/>
      <c r="AB23" s="277"/>
      <c r="AC23" s="163"/>
      <c r="AD23" s="202"/>
    </row>
    <row r="24" spans="1:30" ht="153.75" thickBot="1" x14ac:dyDescent="0.3">
      <c r="A24" s="181" t="s">
        <v>135</v>
      </c>
      <c r="B24" s="183">
        <v>70071508</v>
      </c>
      <c r="C24" s="183" t="s">
        <v>533</v>
      </c>
      <c r="D24" s="292" t="s">
        <v>366</v>
      </c>
      <c r="E24" s="183" t="s">
        <v>241</v>
      </c>
      <c r="F24" s="183">
        <v>20607121878</v>
      </c>
      <c r="G24" s="182" t="s">
        <v>27</v>
      </c>
      <c r="H24" s="183" t="s">
        <v>219</v>
      </c>
      <c r="I24" s="184">
        <v>44936</v>
      </c>
      <c r="J24" s="184">
        <v>45535</v>
      </c>
      <c r="K24" s="184"/>
      <c r="L24" s="185"/>
      <c r="M24" s="186"/>
      <c r="N24" s="183" t="s">
        <v>205</v>
      </c>
      <c r="O24" s="184">
        <v>45535</v>
      </c>
      <c r="P24" s="183"/>
      <c r="Q24" s="183">
        <v>2150</v>
      </c>
      <c r="R24" s="182" t="s">
        <v>242</v>
      </c>
      <c r="S24" s="183" t="s">
        <v>26</v>
      </c>
      <c r="T24" s="183"/>
      <c r="U24" s="183"/>
      <c r="V24" s="183"/>
      <c r="W24" s="183" t="s">
        <v>524</v>
      </c>
      <c r="X24" s="162"/>
      <c r="Y24" s="163"/>
      <c r="Z24" s="276"/>
      <c r="AA24" s="163"/>
      <c r="AB24" s="276"/>
      <c r="AC24" s="163"/>
      <c r="AD24" s="187"/>
    </row>
    <row r="25" spans="1:30" ht="128.25" thickBot="1" x14ac:dyDescent="0.3">
      <c r="A25" s="181" t="s">
        <v>135</v>
      </c>
      <c r="B25" s="183">
        <v>70071508</v>
      </c>
      <c r="C25" s="183" t="s">
        <v>534</v>
      </c>
      <c r="D25" s="292" t="s">
        <v>244</v>
      </c>
      <c r="E25" s="183" t="s">
        <v>64</v>
      </c>
      <c r="F25" s="183">
        <v>20602979173</v>
      </c>
      <c r="G25" s="182" t="s">
        <v>27</v>
      </c>
      <c r="H25" s="183" t="s">
        <v>219</v>
      </c>
      <c r="I25" s="184">
        <v>44378</v>
      </c>
      <c r="J25" s="184">
        <v>45012</v>
      </c>
      <c r="K25" s="184"/>
      <c r="L25" s="185"/>
      <c r="M25" s="186"/>
      <c r="N25" s="183" t="s">
        <v>535</v>
      </c>
      <c r="O25" s="184">
        <v>45012</v>
      </c>
      <c r="P25" s="183"/>
      <c r="Q25" s="183">
        <v>2151</v>
      </c>
      <c r="R25" s="182" t="s">
        <v>47</v>
      </c>
      <c r="S25" s="183" t="s">
        <v>49</v>
      </c>
      <c r="T25" s="183"/>
      <c r="U25" s="183"/>
      <c r="V25" s="183"/>
      <c r="W25" s="183" t="s">
        <v>536</v>
      </c>
      <c r="X25" s="162"/>
      <c r="Y25" s="163"/>
      <c r="Z25" s="276"/>
      <c r="AA25" s="163"/>
      <c r="AB25" s="276"/>
      <c r="AC25" s="163"/>
      <c r="AD25" s="187"/>
    </row>
    <row r="26" spans="1:30" ht="77.25" thickBot="1" x14ac:dyDescent="0.3">
      <c r="A26" s="181" t="s">
        <v>135</v>
      </c>
      <c r="B26" s="183">
        <v>70071508</v>
      </c>
      <c r="C26" s="183" t="s">
        <v>537</v>
      </c>
      <c r="D26" s="292" t="s">
        <v>246</v>
      </c>
      <c r="E26" s="183" t="s">
        <v>247</v>
      </c>
      <c r="F26" s="183" t="s">
        <v>527</v>
      </c>
      <c r="G26" s="182" t="s">
        <v>27</v>
      </c>
      <c r="H26" s="183" t="s">
        <v>538</v>
      </c>
      <c r="I26" s="184">
        <v>44105</v>
      </c>
      <c r="J26" s="184">
        <v>44347</v>
      </c>
      <c r="K26" s="184"/>
      <c r="L26" s="185"/>
      <c r="M26" s="186"/>
      <c r="N26" s="183" t="s">
        <v>248</v>
      </c>
      <c r="O26" s="184">
        <v>44347</v>
      </c>
      <c r="P26" s="183"/>
      <c r="Q26" s="183">
        <v>2152</v>
      </c>
      <c r="R26" s="182" t="s">
        <v>539</v>
      </c>
      <c r="S26" s="183" t="s">
        <v>249</v>
      </c>
      <c r="T26" s="183"/>
      <c r="U26" s="183"/>
      <c r="V26" s="183"/>
      <c r="W26" s="183" t="s">
        <v>524</v>
      </c>
      <c r="X26" s="162"/>
      <c r="Y26" s="163"/>
      <c r="Z26" s="276"/>
      <c r="AA26" s="163"/>
      <c r="AB26" s="276"/>
      <c r="AC26" s="163"/>
      <c r="AD26" s="187"/>
    </row>
    <row r="27" spans="1:30" ht="128.25" thickBot="1" x14ac:dyDescent="0.3">
      <c r="A27" s="203" t="s">
        <v>137</v>
      </c>
      <c r="B27" s="205" t="s">
        <v>540</v>
      </c>
      <c r="C27" s="205" t="s">
        <v>541</v>
      </c>
      <c r="D27" s="295" t="s">
        <v>67</v>
      </c>
      <c r="E27" s="205" t="s">
        <v>542</v>
      </c>
      <c r="F27" s="205" t="s">
        <v>543</v>
      </c>
      <c r="G27" s="204" t="s">
        <v>27</v>
      </c>
      <c r="H27" s="205" t="s">
        <v>219</v>
      </c>
      <c r="I27" s="206">
        <v>44762</v>
      </c>
      <c r="J27" s="206">
        <v>45688</v>
      </c>
      <c r="K27" s="206"/>
      <c r="L27" s="207"/>
      <c r="M27" s="208"/>
      <c r="N27" s="205" t="s">
        <v>544</v>
      </c>
      <c r="O27" s="206">
        <v>45695</v>
      </c>
      <c r="P27" s="205"/>
      <c r="Q27" s="205">
        <v>2157</v>
      </c>
      <c r="R27" s="204" t="s">
        <v>545</v>
      </c>
      <c r="S27" s="205" t="s">
        <v>26</v>
      </c>
      <c r="T27" s="205"/>
      <c r="U27" s="205" t="s">
        <v>543</v>
      </c>
      <c r="V27" s="205"/>
      <c r="W27" s="205" t="s">
        <v>66</v>
      </c>
      <c r="X27" s="162"/>
      <c r="Y27" s="163"/>
      <c r="Z27" s="278"/>
      <c r="AA27" s="163"/>
      <c r="AB27" s="278"/>
      <c r="AC27" s="163"/>
      <c r="AD27" s="209"/>
    </row>
    <row r="28" spans="1:30" ht="102.75" thickBot="1" x14ac:dyDescent="0.3">
      <c r="A28" s="203" t="s">
        <v>137</v>
      </c>
      <c r="B28" s="205" t="s">
        <v>540</v>
      </c>
      <c r="C28" s="205" t="s">
        <v>546</v>
      </c>
      <c r="D28" s="295" t="s">
        <v>250</v>
      </c>
      <c r="E28" s="205" t="s">
        <v>48</v>
      </c>
      <c r="F28" s="205" t="s">
        <v>543</v>
      </c>
      <c r="G28" s="204" t="s">
        <v>27</v>
      </c>
      <c r="H28" s="205" t="s">
        <v>219</v>
      </c>
      <c r="I28" s="206">
        <v>42614</v>
      </c>
      <c r="J28" s="206">
        <v>43320</v>
      </c>
      <c r="K28" s="206"/>
      <c r="L28" s="207"/>
      <c r="M28" s="208"/>
      <c r="N28" s="205" t="s">
        <v>547</v>
      </c>
      <c r="O28" s="206">
        <v>43858</v>
      </c>
      <c r="P28" s="205"/>
      <c r="Q28" s="205">
        <v>2158</v>
      </c>
      <c r="R28" s="204" t="s">
        <v>41</v>
      </c>
      <c r="S28" s="205" t="s">
        <v>251</v>
      </c>
      <c r="T28" s="205"/>
      <c r="U28" s="205" t="s">
        <v>543</v>
      </c>
      <c r="V28" s="205"/>
      <c r="W28" s="205" t="s">
        <v>252</v>
      </c>
      <c r="X28" s="162"/>
      <c r="Y28" s="163"/>
      <c r="Z28" s="278"/>
      <c r="AA28" s="163"/>
      <c r="AB28" s="278"/>
      <c r="AC28" s="163"/>
      <c r="AD28" s="209"/>
    </row>
    <row r="29" spans="1:30" ht="128.25" thickBot="1" x14ac:dyDescent="0.3">
      <c r="A29" s="210" t="s">
        <v>253</v>
      </c>
      <c r="B29" s="212" t="s">
        <v>548</v>
      </c>
      <c r="C29" s="212" t="s">
        <v>519</v>
      </c>
      <c r="D29" s="296" t="s">
        <v>254</v>
      </c>
      <c r="E29" s="212" t="s">
        <v>222</v>
      </c>
      <c r="F29" s="212">
        <v>20606391812</v>
      </c>
      <c r="G29" s="211" t="s">
        <v>27</v>
      </c>
      <c r="H29" s="212" t="s">
        <v>219</v>
      </c>
      <c r="I29" s="213">
        <v>44075</v>
      </c>
      <c r="J29" s="213">
        <v>46008</v>
      </c>
      <c r="K29" s="213"/>
      <c r="L29" s="214"/>
      <c r="M29" s="215"/>
      <c r="N29" s="212" t="s">
        <v>549</v>
      </c>
      <c r="O29" s="213">
        <v>46008</v>
      </c>
      <c r="P29" s="212"/>
      <c r="Q29" s="212">
        <v>2180</v>
      </c>
      <c r="R29" s="211" t="s">
        <v>255</v>
      </c>
      <c r="S29" s="212" t="s">
        <v>225</v>
      </c>
      <c r="T29" s="306" t="s">
        <v>226</v>
      </c>
      <c r="U29" s="212" t="s">
        <v>543</v>
      </c>
      <c r="V29" s="212"/>
      <c r="W29" s="212" t="s">
        <v>211</v>
      </c>
      <c r="X29" s="162"/>
      <c r="Y29" s="163"/>
      <c r="Z29" s="279"/>
      <c r="AA29" s="163"/>
      <c r="AB29" s="279"/>
      <c r="AC29" s="163"/>
      <c r="AD29" s="216"/>
    </row>
    <row r="30" spans="1:30" ht="64.5" thickBot="1" x14ac:dyDescent="0.3">
      <c r="A30" s="210" t="s">
        <v>253</v>
      </c>
      <c r="B30" s="212" t="s">
        <v>548</v>
      </c>
      <c r="C30" s="212" t="s">
        <v>550</v>
      </c>
      <c r="D30" s="296" t="s">
        <v>256</v>
      </c>
      <c r="E30" s="212" t="s">
        <v>551</v>
      </c>
      <c r="F30" s="212" t="s">
        <v>543</v>
      </c>
      <c r="G30" s="211" t="s">
        <v>27</v>
      </c>
      <c r="H30" s="212" t="s">
        <v>219</v>
      </c>
      <c r="I30" s="213">
        <v>43624</v>
      </c>
      <c r="J30" s="213">
        <v>43863</v>
      </c>
      <c r="K30" s="213"/>
      <c r="L30" s="214"/>
      <c r="M30" s="215"/>
      <c r="N30" s="212" t="s">
        <v>552</v>
      </c>
      <c r="O30" s="213">
        <v>43865</v>
      </c>
      <c r="P30" s="212"/>
      <c r="Q30" s="212">
        <v>2181</v>
      </c>
      <c r="R30" s="211" t="s">
        <v>553</v>
      </c>
      <c r="S30" s="212" t="s">
        <v>62</v>
      </c>
      <c r="T30" s="212"/>
      <c r="U30" s="212" t="s">
        <v>543</v>
      </c>
      <c r="V30" s="212"/>
      <c r="W30" s="212" t="s">
        <v>65</v>
      </c>
      <c r="X30" s="162"/>
      <c r="Y30" s="163"/>
      <c r="Z30" s="279"/>
      <c r="AA30" s="163"/>
      <c r="AB30" s="279"/>
      <c r="AC30" s="163"/>
      <c r="AD30" s="216"/>
    </row>
    <row r="31" spans="1:30" ht="90" thickBot="1" x14ac:dyDescent="0.3">
      <c r="A31" s="210" t="s">
        <v>253</v>
      </c>
      <c r="B31" s="212" t="s">
        <v>548</v>
      </c>
      <c r="C31" s="212" t="s">
        <v>554</v>
      </c>
      <c r="D31" s="296" t="s">
        <v>257</v>
      </c>
      <c r="E31" s="212" t="s">
        <v>258</v>
      </c>
      <c r="F31" s="212">
        <v>20172383531</v>
      </c>
      <c r="G31" s="211" t="s">
        <v>27</v>
      </c>
      <c r="H31" s="212" t="s">
        <v>219</v>
      </c>
      <c r="I31" s="213">
        <v>42492</v>
      </c>
      <c r="J31" s="213">
        <v>43475</v>
      </c>
      <c r="K31" s="213"/>
      <c r="L31" s="214"/>
      <c r="M31" s="215"/>
      <c r="N31" s="212" t="s">
        <v>555</v>
      </c>
      <c r="O31" s="213">
        <v>43475</v>
      </c>
      <c r="P31" s="212"/>
      <c r="Q31" s="212">
        <v>2182</v>
      </c>
      <c r="R31" s="211" t="s">
        <v>556</v>
      </c>
      <c r="S31" s="212" t="s">
        <v>557</v>
      </c>
      <c r="T31" s="306" t="s">
        <v>226</v>
      </c>
      <c r="U31" s="212" t="s">
        <v>543</v>
      </c>
      <c r="V31" s="212"/>
      <c r="W31" s="212" t="s">
        <v>66</v>
      </c>
      <c r="X31" s="162"/>
      <c r="Y31" s="163"/>
      <c r="Z31" s="279"/>
      <c r="AA31" s="163"/>
      <c r="AB31" s="279" t="s">
        <v>629</v>
      </c>
      <c r="AC31" s="163"/>
      <c r="AD31" s="216"/>
    </row>
    <row r="32" spans="1:30" ht="60.75" customHeight="1" thickBot="1" x14ac:dyDescent="0.3">
      <c r="A32" s="217" t="s">
        <v>139</v>
      </c>
      <c r="B32" s="219" t="s">
        <v>558</v>
      </c>
      <c r="C32" s="218" t="s">
        <v>559</v>
      </c>
      <c r="D32" s="297" t="s">
        <v>378</v>
      </c>
      <c r="E32" s="219" t="s">
        <v>560</v>
      </c>
      <c r="F32" s="219">
        <v>20602979173</v>
      </c>
      <c r="G32" s="219" t="s">
        <v>27</v>
      </c>
      <c r="H32" s="219" t="s">
        <v>219</v>
      </c>
      <c r="I32" s="220">
        <v>45267</v>
      </c>
      <c r="J32" s="220">
        <v>45443</v>
      </c>
      <c r="K32" s="220"/>
      <c r="L32" s="221"/>
      <c r="M32" s="222"/>
      <c r="N32" s="219" t="s">
        <v>561</v>
      </c>
      <c r="O32" s="220">
        <v>45443</v>
      </c>
      <c r="P32" s="223"/>
      <c r="Q32" s="219">
        <v>2187</v>
      </c>
      <c r="R32" s="219" t="s">
        <v>562</v>
      </c>
      <c r="S32" s="218" t="s">
        <v>563</v>
      </c>
      <c r="T32" s="219"/>
      <c r="U32" s="219"/>
      <c r="V32" s="219"/>
      <c r="W32" s="219" t="s">
        <v>65</v>
      </c>
      <c r="X32" s="224"/>
      <c r="Y32" s="163"/>
      <c r="Z32" s="225"/>
      <c r="AA32" s="163"/>
      <c r="AB32" s="225"/>
      <c r="AC32" s="163"/>
      <c r="AD32" s="226"/>
    </row>
    <row r="33" spans="1:30" ht="60.75" customHeight="1" thickBot="1" x14ac:dyDescent="0.3">
      <c r="A33" s="217" t="s">
        <v>139</v>
      </c>
      <c r="B33" s="219" t="s">
        <v>558</v>
      </c>
      <c r="C33" s="218" t="s">
        <v>564</v>
      </c>
      <c r="D33" s="297" t="s">
        <v>385</v>
      </c>
      <c r="E33" s="219" t="s">
        <v>565</v>
      </c>
      <c r="F33" s="219">
        <v>20602371442</v>
      </c>
      <c r="G33" s="219" t="s">
        <v>27</v>
      </c>
      <c r="H33" s="219" t="s">
        <v>219</v>
      </c>
      <c r="I33" s="220">
        <v>45111</v>
      </c>
      <c r="J33" s="220">
        <v>45230</v>
      </c>
      <c r="K33" s="220"/>
      <c r="L33" s="221"/>
      <c r="M33" s="222"/>
      <c r="N33" s="219" t="s">
        <v>566</v>
      </c>
      <c r="O33" s="220">
        <v>45230</v>
      </c>
      <c r="P33" s="223"/>
      <c r="Q33" s="219">
        <v>2188</v>
      </c>
      <c r="R33" s="219" t="s">
        <v>259</v>
      </c>
      <c r="S33" s="218" t="s">
        <v>567</v>
      </c>
      <c r="T33" s="219"/>
      <c r="U33" s="219"/>
      <c r="V33" s="219"/>
      <c r="W33" s="219" t="s">
        <v>65</v>
      </c>
      <c r="X33" s="224"/>
      <c r="Y33" s="163"/>
      <c r="Z33" s="225"/>
      <c r="AA33" s="163"/>
      <c r="AB33" s="225"/>
      <c r="AC33" s="163"/>
      <c r="AD33" s="226"/>
    </row>
    <row r="34" spans="1:30" ht="60.75" customHeight="1" thickBot="1" x14ac:dyDescent="0.3">
      <c r="A34" s="217" t="s">
        <v>139</v>
      </c>
      <c r="B34" s="219" t="s">
        <v>558</v>
      </c>
      <c r="C34" s="218" t="s">
        <v>568</v>
      </c>
      <c r="D34" s="297" t="s">
        <v>385</v>
      </c>
      <c r="E34" s="219" t="s">
        <v>560</v>
      </c>
      <c r="F34" s="219">
        <v>20602979173</v>
      </c>
      <c r="G34" s="219" t="s">
        <v>27</v>
      </c>
      <c r="H34" s="219" t="s">
        <v>219</v>
      </c>
      <c r="I34" s="220">
        <v>44581</v>
      </c>
      <c r="J34" s="220">
        <v>44985</v>
      </c>
      <c r="K34" s="220"/>
      <c r="L34" s="221"/>
      <c r="M34" s="222"/>
      <c r="N34" s="219" t="s">
        <v>569</v>
      </c>
      <c r="O34" s="220">
        <v>44985</v>
      </c>
      <c r="P34" s="223"/>
      <c r="Q34" s="219">
        <v>2189</v>
      </c>
      <c r="R34" s="219" t="s">
        <v>562</v>
      </c>
      <c r="S34" s="218" t="s">
        <v>563</v>
      </c>
      <c r="T34" s="219"/>
      <c r="U34" s="219"/>
      <c r="V34" s="219"/>
      <c r="W34" s="219" t="s">
        <v>65</v>
      </c>
      <c r="X34" s="224"/>
      <c r="Y34" s="163"/>
      <c r="Z34" s="225"/>
      <c r="AA34" s="163"/>
      <c r="AB34" s="225"/>
      <c r="AC34" s="163"/>
      <c r="AD34" s="226"/>
    </row>
    <row r="35" spans="1:30" ht="60.75" customHeight="1" thickBot="1" x14ac:dyDescent="0.3">
      <c r="A35" s="217" t="s">
        <v>139</v>
      </c>
      <c r="B35" s="219" t="s">
        <v>558</v>
      </c>
      <c r="C35" s="218" t="s">
        <v>570</v>
      </c>
      <c r="D35" s="297" t="s">
        <v>389</v>
      </c>
      <c r="E35" s="219" t="s">
        <v>571</v>
      </c>
      <c r="F35" s="219">
        <v>20603798075</v>
      </c>
      <c r="G35" s="219" t="s">
        <v>27</v>
      </c>
      <c r="H35" s="219" t="s">
        <v>219</v>
      </c>
      <c r="I35" s="220">
        <v>44158</v>
      </c>
      <c r="J35" s="220">
        <v>44408</v>
      </c>
      <c r="K35" s="220"/>
      <c r="L35" s="221"/>
      <c r="M35" s="222"/>
      <c r="N35" s="219" t="s">
        <v>572</v>
      </c>
      <c r="O35" s="220">
        <v>44408</v>
      </c>
      <c r="P35" s="223"/>
      <c r="Q35" s="219">
        <v>2190</v>
      </c>
      <c r="R35" s="219" t="s">
        <v>573</v>
      </c>
      <c r="S35" s="218" t="s">
        <v>26</v>
      </c>
      <c r="T35" s="219"/>
      <c r="U35" s="219"/>
      <c r="V35" s="219"/>
      <c r="W35" s="219" t="s">
        <v>65</v>
      </c>
      <c r="X35" s="224"/>
      <c r="Y35" s="163"/>
      <c r="Z35" s="225"/>
      <c r="AA35" s="163"/>
      <c r="AB35" s="225"/>
      <c r="AC35" s="163"/>
      <c r="AD35" s="226"/>
    </row>
    <row r="36" spans="1:30" ht="60.75" customHeight="1" thickBot="1" x14ac:dyDescent="0.3">
      <c r="A36" s="217" t="s">
        <v>139</v>
      </c>
      <c r="B36" s="219" t="s">
        <v>558</v>
      </c>
      <c r="C36" s="218" t="s">
        <v>574</v>
      </c>
      <c r="D36" s="297" t="s">
        <v>392</v>
      </c>
      <c r="E36" s="219" t="s">
        <v>575</v>
      </c>
      <c r="F36" s="219" t="s">
        <v>501</v>
      </c>
      <c r="G36" s="219" t="s">
        <v>27</v>
      </c>
      <c r="H36" s="219" t="s">
        <v>219</v>
      </c>
      <c r="I36" s="220">
        <v>43041</v>
      </c>
      <c r="J36" s="220">
        <v>43434</v>
      </c>
      <c r="K36" s="220"/>
      <c r="L36" s="221"/>
      <c r="M36" s="222"/>
      <c r="N36" s="219" t="s">
        <v>576</v>
      </c>
      <c r="O36" s="220">
        <v>44533</v>
      </c>
      <c r="P36" s="223"/>
      <c r="Q36" s="219">
        <v>2191</v>
      </c>
      <c r="R36" s="219" t="s">
        <v>577</v>
      </c>
      <c r="S36" s="218" t="s">
        <v>577</v>
      </c>
      <c r="T36" s="225"/>
      <c r="U36" s="219"/>
      <c r="V36" s="219"/>
      <c r="W36" s="219" t="s">
        <v>65</v>
      </c>
      <c r="X36" s="224"/>
      <c r="Y36" s="163"/>
      <c r="Z36" s="225"/>
      <c r="AA36" s="163"/>
      <c r="AB36" s="225"/>
      <c r="AC36" s="163"/>
      <c r="AD36" s="226"/>
    </row>
    <row r="37" spans="1:30" ht="60.75" customHeight="1" thickBot="1" x14ac:dyDescent="0.3">
      <c r="A37" s="217" t="s">
        <v>139</v>
      </c>
      <c r="B37" s="219" t="s">
        <v>558</v>
      </c>
      <c r="C37" s="218" t="s">
        <v>578</v>
      </c>
      <c r="D37" s="297" t="s">
        <v>395</v>
      </c>
      <c r="E37" s="219" t="s">
        <v>579</v>
      </c>
      <c r="F37" s="219" t="s">
        <v>501</v>
      </c>
      <c r="G37" s="219" t="s">
        <v>27</v>
      </c>
      <c r="H37" s="219" t="s">
        <v>219</v>
      </c>
      <c r="I37" s="220">
        <v>41946</v>
      </c>
      <c r="J37" s="220">
        <v>42674</v>
      </c>
      <c r="K37" s="220"/>
      <c r="L37" s="221"/>
      <c r="M37" s="222"/>
      <c r="N37" s="219" t="s">
        <v>580</v>
      </c>
      <c r="O37" s="220">
        <v>44530</v>
      </c>
      <c r="P37" s="223"/>
      <c r="Q37" s="219">
        <v>2192</v>
      </c>
      <c r="R37" s="219" t="s">
        <v>581</v>
      </c>
      <c r="S37" s="218" t="s">
        <v>26</v>
      </c>
      <c r="T37" s="219"/>
      <c r="U37" s="219"/>
      <c r="V37" s="219"/>
      <c r="W37" s="219" t="s">
        <v>65</v>
      </c>
      <c r="X37" s="224"/>
      <c r="Y37" s="163"/>
      <c r="Z37" s="225"/>
      <c r="AA37" s="163"/>
      <c r="AB37" s="225"/>
      <c r="AC37" s="163"/>
      <c r="AD37" s="226"/>
    </row>
    <row r="38" spans="1:30" ht="60.75" customHeight="1" thickBot="1" x14ac:dyDescent="0.3">
      <c r="A38" s="227" t="s">
        <v>260</v>
      </c>
      <c r="B38" s="229" t="s">
        <v>582</v>
      </c>
      <c r="C38" s="228" t="s">
        <v>583</v>
      </c>
      <c r="D38" s="298" t="s">
        <v>398</v>
      </c>
      <c r="E38" s="229" t="s">
        <v>584</v>
      </c>
      <c r="F38" s="229">
        <v>20610179500</v>
      </c>
      <c r="G38" s="229" t="s">
        <v>27</v>
      </c>
      <c r="H38" s="229" t="s">
        <v>219</v>
      </c>
      <c r="I38" s="230">
        <v>45126</v>
      </c>
      <c r="J38" s="230">
        <v>46022</v>
      </c>
      <c r="K38" s="230"/>
      <c r="L38" s="231"/>
      <c r="M38" s="232"/>
      <c r="N38" s="229" t="s">
        <v>585</v>
      </c>
      <c r="O38" s="230">
        <v>46022</v>
      </c>
      <c r="P38" s="233"/>
      <c r="Q38" s="229">
        <v>2198</v>
      </c>
      <c r="R38" s="229" t="s">
        <v>261</v>
      </c>
      <c r="S38" s="228" t="s">
        <v>62</v>
      </c>
      <c r="T38" s="229"/>
      <c r="U38" s="229"/>
      <c r="V38" s="229"/>
      <c r="W38" s="229" t="s">
        <v>65</v>
      </c>
      <c r="X38" s="224"/>
      <c r="Y38" s="163"/>
      <c r="Z38" s="234"/>
      <c r="AA38" s="163"/>
      <c r="AB38" s="234"/>
      <c r="AC38" s="163"/>
      <c r="AD38" s="235"/>
    </row>
    <row r="39" spans="1:30" ht="60.75" customHeight="1" thickBot="1" x14ac:dyDescent="0.3">
      <c r="A39" s="227" t="s">
        <v>260</v>
      </c>
      <c r="B39" s="229" t="s">
        <v>582</v>
      </c>
      <c r="C39" s="228" t="s">
        <v>586</v>
      </c>
      <c r="D39" s="298" t="s">
        <v>262</v>
      </c>
      <c r="E39" s="229" t="s">
        <v>587</v>
      </c>
      <c r="F39" s="229" t="s">
        <v>501</v>
      </c>
      <c r="G39" s="229" t="s">
        <v>27</v>
      </c>
      <c r="H39" s="229" t="s">
        <v>219</v>
      </c>
      <c r="I39" s="230">
        <v>44510</v>
      </c>
      <c r="J39" s="230">
        <v>44834</v>
      </c>
      <c r="K39" s="230"/>
      <c r="L39" s="231"/>
      <c r="M39" s="232"/>
      <c r="N39" s="229" t="s">
        <v>588</v>
      </c>
      <c r="O39" s="230">
        <v>44837</v>
      </c>
      <c r="P39" s="233"/>
      <c r="Q39" s="229">
        <v>2199</v>
      </c>
      <c r="R39" s="229" t="s">
        <v>587</v>
      </c>
      <c r="S39" s="228" t="s">
        <v>263</v>
      </c>
      <c r="T39" s="229"/>
      <c r="U39" s="229"/>
      <c r="V39" s="229"/>
      <c r="W39" s="229" t="s">
        <v>66</v>
      </c>
      <c r="X39" s="224"/>
      <c r="Y39" s="163"/>
      <c r="Z39" s="234"/>
      <c r="AA39" s="163"/>
      <c r="AB39" s="234"/>
      <c r="AC39" s="163"/>
      <c r="AD39" s="235"/>
    </row>
    <row r="40" spans="1:30" ht="60.75" customHeight="1" thickBot="1" x14ac:dyDescent="0.3">
      <c r="A40" s="236" t="s">
        <v>140</v>
      </c>
      <c r="B40" s="238" t="s">
        <v>589</v>
      </c>
      <c r="C40" s="237" t="s">
        <v>590</v>
      </c>
      <c r="D40" s="299" t="s">
        <v>591</v>
      </c>
      <c r="E40" s="238" t="s">
        <v>592</v>
      </c>
      <c r="F40" s="238">
        <v>20608805070</v>
      </c>
      <c r="G40" s="238" t="s">
        <v>27</v>
      </c>
      <c r="H40" s="238" t="s">
        <v>219</v>
      </c>
      <c r="I40" s="239">
        <v>44599</v>
      </c>
      <c r="J40" s="239">
        <v>45786</v>
      </c>
      <c r="K40" s="239"/>
      <c r="L40" s="240"/>
      <c r="M40" s="241"/>
      <c r="N40" s="238" t="s">
        <v>593</v>
      </c>
      <c r="O40" s="239">
        <v>45823</v>
      </c>
      <c r="P40" s="242"/>
      <c r="Q40" s="238">
        <v>2205</v>
      </c>
      <c r="R40" s="238" t="s">
        <v>261</v>
      </c>
      <c r="S40" s="237" t="s">
        <v>62</v>
      </c>
      <c r="T40" s="238"/>
      <c r="U40" s="238"/>
      <c r="V40" s="238"/>
      <c r="W40" s="238" t="s">
        <v>594</v>
      </c>
      <c r="X40" s="224"/>
      <c r="Y40" s="163"/>
      <c r="Z40" s="243"/>
      <c r="AA40" s="163"/>
      <c r="AB40" s="243"/>
      <c r="AC40" s="163"/>
      <c r="AD40" s="244"/>
    </row>
    <row r="41" spans="1:30" ht="60.75" customHeight="1" thickBot="1" x14ac:dyDescent="0.3">
      <c r="A41" s="236" t="s">
        <v>140</v>
      </c>
      <c r="B41" s="238" t="s">
        <v>589</v>
      </c>
      <c r="C41" s="237" t="s">
        <v>595</v>
      </c>
      <c r="D41" s="299" t="s">
        <v>596</v>
      </c>
      <c r="E41" s="238" t="s">
        <v>597</v>
      </c>
      <c r="F41" s="238" t="s">
        <v>501</v>
      </c>
      <c r="G41" s="238" t="s">
        <v>27</v>
      </c>
      <c r="H41" s="238" t="s">
        <v>219</v>
      </c>
      <c r="I41" s="239">
        <v>43712</v>
      </c>
      <c r="J41" s="239">
        <v>44501</v>
      </c>
      <c r="K41" s="272" t="s">
        <v>468</v>
      </c>
      <c r="L41" s="240"/>
      <c r="M41" s="241"/>
      <c r="N41" s="238" t="s">
        <v>598</v>
      </c>
      <c r="O41" s="239">
        <v>44505</v>
      </c>
      <c r="P41" s="242"/>
      <c r="Q41" s="238">
        <v>2204</v>
      </c>
      <c r="R41" s="238" t="s">
        <v>264</v>
      </c>
      <c r="S41" s="237" t="s">
        <v>26</v>
      </c>
      <c r="T41" s="238"/>
      <c r="U41" s="238"/>
      <c r="V41" s="238"/>
      <c r="W41" s="238" t="s">
        <v>65</v>
      </c>
      <c r="X41" s="224"/>
      <c r="Y41" s="163"/>
      <c r="Z41" s="243" t="s">
        <v>461</v>
      </c>
      <c r="AA41" s="163"/>
      <c r="AB41" s="243"/>
      <c r="AC41" s="163"/>
      <c r="AD41" s="244"/>
    </row>
    <row r="42" spans="1:30" ht="51.75" thickBot="1" x14ac:dyDescent="0.3">
      <c r="A42" s="245" t="s">
        <v>141</v>
      </c>
      <c r="B42" s="247" t="s">
        <v>599</v>
      </c>
      <c r="C42" s="246" t="s">
        <v>600</v>
      </c>
      <c r="D42" s="300" t="s">
        <v>411</v>
      </c>
      <c r="E42" s="247" t="s">
        <v>560</v>
      </c>
      <c r="F42" s="247">
        <v>20602979173</v>
      </c>
      <c r="G42" s="247" t="s">
        <v>27</v>
      </c>
      <c r="H42" s="247" t="s">
        <v>61</v>
      </c>
      <c r="I42" s="248">
        <v>45296</v>
      </c>
      <c r="J42" s="248">
        <v>45504</v>
      </c>
      <c r="K42" s="248"/>
      <c r="L42" s="247"/>
      <c r="M42" s="249"/>
      <c r="N42" s="247" t="s">
        <v>601</v>
      </c>
      <c r="O42" s="248">
        <v>45504</v>
      </c>
      <c r="P42" s="247"/>
      <c r="Q42" s="247">
        <v>2219</v>
      </c>
      <c r="R42" s="246" t="s">
        <v>562</v>
      </c>
      <c r="S42" s="246" t="s">
        <v>49</v>
      </c>
      <c r="T42" s="247"/>
      <c r="U42" s="247"/>
      <c r="V42" s="247"/>
      <c r="W42" s="247" t="s">
        <v>65</v>
      </c>
      <c r="X42" s="224"/>
      <c r="Y42" s="163"/>
      <c r="Z42" s="250"/>
      <c r="AA42" s="163"/>
      <c r="AB42" s="250"/>
      <c r="AC42" s="163"/>
      <c r="AD42" s="251"/>
    </row>
    <row r="43" spans="1:30" ht="51.75" thickBot="1" x14ac:dyDescent="0.3">
      <c r="A43" s="245" t="s">
        <v>141</v>
      </c>
      <c r="B43" s="247">
        <v>71216374</v>
      </c>
      <c r="C43" s="246" t="s">
        <v>602</v>
      </c>
      <c r="D43" s="300" t="s">
        <v>55</v>
      </c>
      <c r="E43" s="247" t="s">
        <v>603</v>
      </c>
      <c r="F43" s="247">
        <v>20602371442</v>
      </c>
      <c r="G43" s="247" t="s">
        <v>27</v>
      </c>
      <c r="H43" s="247" t="s">
        <v>61</v>
      </c>
      <c r="I43" s="248">
        <v>45170</v>
      </c>
      <c r="J43" s="248">
        <v>45276</v>
      </c>
      <c r="K43" s="248"/>
      <c r="L43" s="247"/>
      <c r="M43" s="249"/>
      <c r="N43" s="247" t="s">
        <v>604</v>
      </c>
      <c r="O43" s="248">
        <v>45276</v>
      </c>
      <c r="P43" s="247"/>
      <c r="Q43" s="247">
        <v>2218</v>
      </c>
      <c r="R43" s="246" t="s">
        <v>605</v>
      </c>
      <c r="S43" s="246" t="s">
        <v>26</v>
      </c>
      <c r="T43" s="247"/>
      <c r="U43" s="247"/>
      <c r="V43" s="247"/>
      <c r="W43" s="247" t="s">
        <v>65</v>
      </c>
      <c r="X43" s="224"/>
      <c r="Y43" s="163"/>
      <c r="Z43" s="250"/>
      <c r="AA43" s="163"/>
      <c r="AB43" s="250"/>
      <c r="AC43" s="163"/>
      <c r="AD43" s="251"/>
    </row>
    <row r="44" spans="1:30" ht="51.75" thickBot="1" x14ac:dyDescent="0.3">
      <c r="A44" s="245" t="s">
        <v>141</v>
      </c>
      <c r="B44" s="247">
        <v>71216374</v>
      </c>
      <c r="C44" s="246" t="s">
        <v>602</v>
      </c>
      <c r="D44" s="300" t="s">
        <v>55</v>
      </c>
      <c r="E44" s="247" t="s">
        <v>603</v>
      </c>
      <c r="F44" s="247">
        <v>20602371442</v>
      </c>
      <c r="G44" s="247" t="s">
        <v>27</v>
      </c>
      <c r="H44" s="247" t="s">
        <v>61</v>
      </c>
      <c r="I44" s="248">
        <v>45108</v>
      </c>
      <c r="J44" s="248">
        <v>45169</v>
      </c>
      <c r="K44" s="248"/>
      <c r="L44" s="247"/>
      <c r="M44" s="249"/>
      <c r="N44" s="247" t="s">
        <v>606</v>
      </c>
      <c r="O44" s="248">
        <v>45276</v>
      </c>
      <c r="P44" s="247"/>
      <c r="Q44" s="247">
        <v>2217</v>
      </c>
      <c r="R44" s="246" t="s">
        <v>605</v>
      </c>
      <c r="S44" s="246" t="s">
        <v>26</v>
      </c>
      <c r="T44" s="247"/>
      <c r="U44" s="247"/>
      <c r="V44" s="247"/>
      <c r="W44" s="247" t="s">
        <v>65</v>
      </c>
      <c r="X44" s="224"/>
      <c r="Y44" s="163"/>
      <c r="Z44" s="250"/>
      <c r="AA44" s="163"/>
      <c r="AB44" s="250"/>
      <c r="AC44" s="163"/>
      <c r="AD44" s="251"/>
    </row>
    <row r="45" spans="1:30" ht="51.75" thickBot="1" x14ac:dyDescent="0.3">
      <c r="A45" s="245" t="s">
        <v>141</v>
      </c>
      <c r="B45" s="247">
        <v>71216374</v>
      </c>
      <c r="C45" s="246" t="s">
        <v>607</v>
      </c>
      <c r="D45" s="300" t="s">
        <v>411</v>
      </c>
      <c r="E45" s="247" t="s">
        <v>560</v>
      </c>
      <c r="F45" s="247">
        <v>20602979173</v>
      </c>
      <c r="G45" s="247" t="s">
        <v>27</v>
      </c>
      <c r="H45" s="247" t="s">
        <v>61</v>
      </c>
      <c r="I45" s="248">
        <v>44866</v>
      </c>
      <c r="J45" s="248">
        <v>44972</v>
      </c>
      <c r="K45" s="248"/>
      <c r="L45" s="247"/>
      <c r="M45" s="249"/>
      <c r="N45" s="247" t="s">
        <v>604</v>
      </c>
      <c r="O45" s="248">
        <v>44972</v>
      </c>
      <c r="P45" s="247"/>
      <c r="Q45" s="247">
        <v>2216</v>
      </c>
      <c r="R45" s="246" t="s">
        <v>562</v>
      </c>
      <c r="S45" s="246" t="s">
        <v>49</v>
      </c>
      <c r="T45" s="247"/>
      <c r="U45" s="247"/>
      <c r="V45" s="247"/>
      <c r="W45" s="247" t="s">
        <v>608</v>
      </c>
      <c r="X45" s="224"/>
      <c r="Y45" s="163"/>
      <c r="Z45" s="250"/>
      <c r="AA45" s="163"/>
      <c r="AB45" s="250"/>
      <c r="AC45" s="163"/>
      <c r="AD45" s="251"/>
    </row>
    <row r="46" spans="1:30" ht="51.75" thickBot="1" x14ac:dyDescent="0.3">
      <c r="A46" s="245" t="s">
        <v>141</v>
      </c>
      <c r="B46" s="247">
        <v>71216374</v>
      </c>
      <c r="C46" s="246" t="s">
        <v>607</v>
      </c>
      <c r="D46" s="300" t="s">
        <v>411</v>
      </c>
      <c r="E46" s="247" t="s">
        <v>560</v>
      </c>
      <c r="F46" s="247">
        <v>20602979173</v>
      </c>
      <c r="G46" s="247" t="s">
        <v>27</v>
      </c>
      <c r="H46" s="247" t="s">
        <v>61</v>
      </c>
      <c r="I46" s="248">
        <v>44578</v>
      </c>
      <c r="J46" s="248">
        <v>44865</v>
      </c>
      <c r="K46" s="248"/>
      <c r="L46" s="247"/>
      <c r="M46" s="249"/>
      <c r="N46" s="247" t="s">
        <v>609</v>
      </c>
      <c r="O46" s="248">
        <v>44865</v>
      </c>
      <c r="P46" s="247"/>
      <c r="Q46" s="247">
        <v>2215</v>
      </c>
      <c r="R46" s="246" t="s">
        <v>610</v>
      </c>
      <c r="S46" s="246" t="s">
        <v>49</v>
      </c>
      <c r="T46" s="247"/>
      <c r="U46" s="247"/>
      <c r="V46" s="247"/>
      <c r="W46" s="247" t="s">
        <v>65</v>
      </c>
      <c r="X46" s="224"/>
      <c r="Y46" s="163"/>
      <c r="Z46" s="250"/>
      <c r="AA46" s="163"/>
      <c r="AB46" s="250"/>
      <c r="AC46" s="163"/>
      <c r="AD46" s="251"/>
    </row>
    <row r="47" spans="1:30" ht="39" thickBot="1" x14ac:dyDescent="0.3">
      <c r="A47" s="245" t="s">
        <v>141</v>
      </c>
      <c r="B47" s="247">
        <v>71216374</v>
      </c>
      <c r="C47" s="246" t="s">
        <v>611</v>
      </c>
      <c r="D47" s="300" t="s">
        <v>411</v>
      </c>
      <c r="E47" s="247" t="s">
        <v>612</v>
      </c>
      <c r="F47" s="247">
        <v>20603798075</v>
      </c>
      <c r="G47" s="247" t="s">
        <v>27</v>
      </c>
      <c r="H47" s="247" t="s">
        <v>61</v>
      </c>
      <c r="I47" s="248">
        <v>44287</v>
      </c>
      <c r="J47" s="248">
        <v>44530</v>
      </c>
      <c r="K47" s="248"/>
      <c r="L47" s="247"/>
      <c r="M47" s="249"/>
      <c r="N47" s="247" t="s">
        <v>613</v>
      </c>
      <c r="O47" s="248">
        <v>44530</v>
      </c>
      <c r="P47" s="247"/>
      <c r="Q47" s="247">
        <v>2214</v>
      </c>
      <c r="R47" s="246" t="s">
        <v>573</v>
      </c>
      <c r="S47" s="246" t="s">
        <v>26</v>
      </c>
      <c r="T47" s="247"/>
      <c r="U47" s="247"/>
      <c r="V47" s="247"/>
      <c r="W47" s="247" t="s">
        <v>63</v>
      </c>
      <c r="X47" s="224"/>
      <c r="Y47" s="163"/>
      <c r="Z47" s="250"/>
      <c r="AA47" s="163"/>
      <c r="AB47" s="250"/>
      <c r="AC47" s="163"/>
      <c r="AD47" s="251"/>
    </row>
    <row r="48" spans="1:30" ht="39" thickBot="1" x14ac:dyDescent="0.3">
      <c r="A48" s="245" t="s">
        <v>141</v>
      </c>
      <c r="B48" s="247">
        <v>71216374</v>
      </c>
      <c r="C48" s="246" t="s">
        <v>611</v>
      </c>
      <c r="D48" s="300" t="s">
        <v>411</v>
      </c>
      <c r="E48" s="247" t="s">
        <v>612</v>
      </c>
      <c r="F48" s="247">
        <v>20603798075</v>
      </c>
      <c r="G48" s="247" t="s">
        <v>27</v>
      </c>
      <c r="H48" s="247" t="s">
        <v>61</v>
      </c>
      <c r="I48" s="248">
        <v>44228</v>
      </c>
      <c r="J48" s="248">
        <v>44286</v>
      </c>
      <c r="K48" s="248"/>
      <c r="L48" s="247"/>
      <c r="M48" s="249"/>
      <c r="N48" s="247" t="s">
        <v>614</v>
      </c>
      <c r="O48" s="248">
        <v>44309</v>
      </c>
      <c r="P48" s="247"/>
      <c r="Q48" s="247">
        <v>2213</v>
      </c>
      <c r="R48" s="246" t="s">
        <v>615</v>
      </c>
      <c r="S48" s="246" t="s">
        <v>26</v>
      </c>
      <c r="T48" s="247"/>
      <c r="U48" s="247"/>
      <c r="V48" s="247"/>
      <c r="W48" s="247" t="s">
        <v>65</v>
      </c>
      <c r="X48" s="224"/>
      <c r="Y48" s="163"/>
      <c r="Z48" s="250"/>
      <c r="AA48" s="163"/>
      <c r="AB48" s="250"/>
      <c r="AC48" s="163"/>
      <c r="AD48" s="251"/>
    </row>
    <row r="49" spans="1:30" ht="39" thickBot="1" x14ac:dyDescent="0.3">
      <c r="A49" s="245" t="s">
        <v>141</v>
      </c>
      <c r="B49" s="247">
        <v>71216374</v>
      </c>
      <c r="C49" s="246" t="s">
        <v>611</v>
      </c>
      <c r="D49" s="300" t="s">
        <v>411</v>
      </c>
      <c r="E49" s="247" t="s">
        <v>612</v>
      </c>
      <c r="F49" s="247">
        <v>20603798075</v>
      </c>
      <c r="G49" s="247" t="s">
        <v>27</v>
      </c>
      <c r="H49" s="247" t="s">
        <v>61</v>
      </c>
      <c r="I49" s="248">
        <v>44149</v>
      </c>
      <c r="J49" s="248">
        <v>44227</v>
      </c>
      <c r="K49" s="248"/>
      <c r="L49" s="247"/>
      <c r="M49" s="249"/>
      <c r="N49" s="247" t="s">
        <v>616</v>
      </c>
      <c r="O49" s="248">
        <v>44308</v>
      </c>
      <c r="P49" s="247"/>
      <c r="Q49" s="247">
        <v>2212</v>
      </c>
      <c r="R49" s="246" t="s">
        <v>615</v>
      </c>
      <c r="S49" s="246" t="s">
        <v>26</v>
      </c>
      <c r="T49" s="247"/>
      <c r="U49" s="247"/>
      <c r="V49" s="247"/>
      <c r="W49" s="247" t="s">
        <v>63</v>
      </c>
      <c r="X49" s="224"/>
      <c r="Y49" s="163"/>
      <c r="Z49" s="250"/>
      <c r="AA49" s="163"/>
      <c r="AB49" s="250"/>
      <c r="AC49" s="163"/>
      <c r="AD49" s="251"/>
    </row>
    <row r="50" spans="1:30" ht="64.5" thickBot="1" x14ac:dyDescent="0.3">
      <c r="A50" s="252" t="s">
        <v>142</v>
      </c>
      <c r="B50" s="254" t="s">
        <v>617</v>
      </c>
      <c r="C50" s="253" t="s">
        <v>433</v>
      </c>
      <c r="D50" s="301" t="s">
        <v>265</v>
      </c>
      <c r="E50" s="254" t="s">
        <v>618</v>
      </c>
      <c r="F50" s="254">
        <v>20557934333</v>
      </c>
      <c r="G50" s="254" t="s">
        <v>27</v>
      </c>
      <c r="H50" s="254" t="s">
        <v>61</v>
      </c>
      <c r="I50" s="255">
        <v>44294</v>
      </c>
      <c r="J50" s="255">
        <v>44632</v>
      </c>
      <c r="K50" s="255"/>
      <c r="L50" s="254"/>
      <c r="M50" s="256"/>
      <c r="N50" s="254" t="s">
        <v>619</v>
      </c>
      <c r="O50" s="255">
        <v>45376</v>
      </c>
      <c r="P50" s="254"/>
      <c r="Q50" s="254">
        <v>2229</v>
      </c>
      <c r="R50" s="253" t="s">
        <v>620</v>
      </c>
      <c r="S50" s="253" t="s">
        <v>26</v>
      </c>
      <c r="T50" s="254"/>
      <c r="U50" s="254"/>
      <c r="V50" s="254"/>
      <c r="W50" s="254" t="s">
        <v>179</v>
      </c>
      <c r="X50" s="224"/>
      <c r="Y50" s="163"/>
      <c r="Z50" s="257"/>
      <c r="AA50" s="163"/>
      <c r="AB50" s="257"/>
      <c r="AC50" s="163"/>
      <c r="AD50" s="258"/>
    </row>
    <row r="51" spans="1:30" ht="64.5" thickBot="1" x14ac:dyDescent="0.3">
      <c r="A51" s="252" t="s">
        <v>142</v>
      </c>
      <c r="B51" s="254" t="s">
        <v>617</v>
      </c>
      <c r="C51" s="253" t="s">
        <v>621</v>
      </c>
      <c r="D51" s="301" t="s">
        <v>266</v>
      </c>
      <c r="E51" s="254" t="s">
        <v>622</v>
      </c>
      <c r="F51" s="254">
        <v>20172383531</v>
      </c>
      <c r="G51" s="254" t="s">
        <v>27</v>
      </c>
      <c r="H51" s="254" t="s">
        <v>623</v>
      </c>
      <c r="I51" s="255">
        <v>43344</v>
      </c>
      <c r="J51" s="255">
        <v>43465</v>
      </c>
      <c r="K51" s="255"/>
      <c r="L51" s="254"/>
      <c r="M51" s="256"/>
      <c r="N51" s="254" t="s">
        <v>624</v>
      </c>
      <c r="O51" s="255">
        <v>43475</v>
      </c>
      <c r="P51" s="254"/>
      <c r="Q51" s="254">
        <v>2228</v>
      </c>
      <c r="R51" s="253" t="s">
        <v>625</v>
      </c>
      <c r="S51" s="253" t="s">
        <v>626</v>
      </c>
      <c r="T51" s="257" t="s">
        <v>226</v>
      </c>
      <c r="U51" s="254"/>
      <c r="V51" s="254"/>
      <c r="W51" s="254" t="s">
        <v>63</v>
      </c>
      <c r="X51" s="224"/>
      <c r="Y51" s="163"/>
      <c r="Z51" s="257"/>
      <c r="AA51" s="163"/>
      <c r="AB51" s="257" t="s">
        <v>629</v>
      </c>
      <c r="AC51" s="163"/>
      <c r="AD51" s="258"/>
    </row>
    <row r="52" spans="1:30" ht="76.5" x14ac:dyDescent="0.25">
      <c r="A52" s="259" t="s">
        <v>142</v>
      </c>
      <c r="B52" s="261" t="s">
        <v>617</v>
      </c>
      <c r="C52" s="260" t="s">
        <v>442</v>
      </c>
      <c r="D52" s="302" t="s">
        <v>173</v>
      </c>
      <c r="E52" s="261" t="s">
        <v>618</v>
      </c>
      <c r="F52" s="261">
        <v>20557934333</v>
      </c>
      <c r="G52" s="261" t="s">
        <v>27</v>
      </c>
      <c r="H52" s="261" t="s">
        <v>61</v>
      </c>
      <c r="I52" s="262">
        <v>42682</v>
      </c>
      <c r="J52" s="262">
        <v>43312</v>
      </c>
      <c r="K52" s="262"/>
      <c r="L52" s="261"/>
      <c r="M52" s="263"/>
      <c r="N52" s="261" t="s">
        <v>627</v>
      </c>
      <c r="O52" s="262">
        <v>43332</v>
      </c>
      <c r="P52" s="261"/>
      <c r="Q52" s="261">
        <v>2225</v>
      </c>
      <c r="R52" s="260" t="s">
        <v>628</v>
      </c>
      <c r="S52" s="260" t="s">
        <v>26</v>
      </c>
      <c r="T52" s="261"/>
      <c r="U52" s="261"/>
      <c r="V52" s="261"/>
      <c r="W52" s="261" t="s">
        <v>65</v>
      </c>
      <c r="X52" s="267"/>
      <c r="Y52" s="264"/>
      <c r="Z52" s="265"/>
      <c r="AA52" s="264"/>
      <c r="AB52" s="265"/>
      <c r="AC52" s="264"/>
      <c r="AD52" s="266"/>
    </row>
    <row r="53" spans="1:30" x14ac:dyDescent="0.25">
      <c r="F53" s="281"/>
      <c r="G53" s="281"/>
      <c r="H53" s="281"/>
      <c r="I53" s="55"/>
      <c r="J53" s="55"/>
      <c r="K53" s="55"/>
      <c r="L53" s="281"/>
      <c r="M53" s="282"/>
      <c r="N53" s="281"/>
      <c r="O53" s="55"/>
      <c r="P53" s="281"/>
      <c r="Q53" s="281"/>
      <c r="R53" s="283"/>
      <c r="S53" s="283"/>
      <c r="T53" s="281"/>
      <c r="U53" s="281"/>
      <c r="V53" s="281"/>
      <c r="W53" s="281"/>
      <c r="X53" s="284"/>
      <c r="Y53" s="285"/>
      <c r="Z53" s="286"/>
      <c r="AA53" s="285"/>
      <c r="AB53" s="286"/>
      <c r="AC53" s="285"/>
      <c r="AD53" s="286"/>
    </row>
    <row r="54" spans="1:30" x14ac:dyDescent="0.25">
      <c r="F54" s="281"/>
      <c r="G54" s="281"/>
      <c r="H54" s="281"/>
      <c r="I54" s="55"/>
      <c r="J54" s="55"/>
      <c r="K54" s="55"/>
      <c r="L54" s="281"/>
      <c r="M54" s="282"/>
      <c r="N54" s="281"/>
      <c r="O54" s="55"/>
      <c r="P54" s="281"/>
      <c r="Q54" s="281"/>
      <c r="R54" s="283"/>
      <c r="S54" s="283"/>
      <c r="T54" s="281"/>
      <c r="U54" s="281"/>
      <c r="V54" s="281"/>
      <c r="W54" s="281"/>
      <c r="X54" s="284"/>
      <c r="Y54" s="285"/>
      <c r="Z54" s="286"/>
      <c r="AA54" s="285"/>
      <c r="AB54" s="286"/>
      <c r="AC54" s="285"/>
      <c r="AD54" s="286"/>
    </row>
    <row r="55" spans="1:30" x14ac:dyDescent="0.25">
      <c r="F55" s="281"/>
      <c r="G55" s="281"/>
      <c r="H55" s="281"/>
      <c r="I55" s="55"/>
      <c r="J55" s="55"/>
      <c r="K55" s="55"/>
      <c r="L55" s="281"/>
      <c r="M55" s="282"/>
      <c r="N55" s="281"/>
      <c r="O55" s="55"/>
      <c r="P55" s="281"/>
      <c r="Q55" s="281"/>
      <c r="R55" s="283"/>
      <c r="S55" s="283"/>
      <c r="T55" s="281"/>
      <c r="U55" s="281"/>
      <c r="V55" s="281"/>
      <c r="W55" s="281"/>
      <c r="X55" s="284"/>
      <c r="Y55" s="285"/>
      <c r="Z55" s="286"/>
      <c r="AA55" s="285"/>
      <c r="AB55" s="286"/>
      <c r="AC55" s="285"/>
      <c r="AD55" s="286"/>
    </row>
    <row r="56" spans="1:30" x14ac:dyDescent="0.25">
      <c r="F56" s="281"/>
      <c r="G56" s="281"/>
      <c r="H56" s="281"/>
      <c r="I56" s="55"/>
      <c r="J56" s="55"/>
      <c r="K56" s="55"/>
      <c r="L56" s="281"/>
      <c r="M56" s="282"/>
      <c r="N56" s="281"/>
      <c r="O56" s="55"/>
      <c r="P56" s="281"/>
      <c r="Q56" s="281"/>
      <c r="R56" s="283"/>
      <c r="S56" s="283"/>
      <c r="T56" s="281"/>
      <c r="U56" s="281"/>
      <c r="V56" s="281"/>
      <c r="W56" s="281"/>
      <c r="X56" s="284"/>
      <c r="Y56" s="285"/>
      <c r="Z56" s="286"/>
      <c r="AA56" s="285"/>
      <c r="AB56" s="286"/>
      <c r="AC56" s="285"/>
      <c r="AD56" s="286"/>
    </row>
    <row r="57" spans="1:30" x14ac:dyDescent="0.25">
      <c r="F57" s="281"/>
      <c r="G57" s="281"/>
      <c r="H57" s="281"/>
      <c r="I57" s="55"/>
      <c r="J57" s="55"/>
      <c r="K57" s="55"/>
      <c r="L57" s="281"/>
      <c r="M57" s="282"/>
      <c r="N57" s="281"/>
      <c r="O57" s="55"/>
      <c r="P57" s="281"/>
      <c r="Q57" s="281"/>
      <c r="R57" s="283"/>
      <c r="S57" s="283"/>
      <c r="T57" s="281"/>
      <c r="U57" s="281"/>
      <c r="V57" s="281"/>
      <c r="W57" s="281"/>
      <c r="X57" s="284"/>
      <c r="Y57" s="285"/>
      <c r="Z57" s="286"/>
      <c r="AA57" s="285"/>
      <c r="AB57" s="286"/>
      <c r="AC57" s="285"/>
      <c r="AD57" s="286"/>
    </row>
    <row r="58" spans="1:30" x14ac:dyDescent="0.25">
      <c r="F58" s="281"/>
      <c r="G58" s="281"/>
      <c r="H58" s="281"/>
      <c r="I58" s="55"/>
      <c r="J58" s="55"/>
      <c r="K58" s="55"/>
      <c r="L58" s="281"/>
      <c r="M58" s="282"/>
      <c r="N58" s="281"/>
      <c r="O58" s="55"/>
      <c r="P58" s="281"/>
      <c r="Q58" s="281"/>
      <c r="R58" s="283"/>
      <c r="S58" s="283"/>
      <c r="T58" s="281"/>
      <c r="U58" s="281"/>
      <c r="V58" s="281"/>
      <c r="W58" s="281"/>
      <c r="X58" s="284"/>
      <c r="Y58" s="285"/>
      <c r="Z58" s="286"/>
      <c r="AA58" s="285"/>
      <c r="AB58" s="286"/>
      <c r="AC58" s="285"/>
      <c r="AD58" s="286"/>
    </row>
    <row r="59" spans="1:30" x14ac:dyDescent="0.25">
      <c r="F59" s="281"/>
      <c r="G59" s="281"/>
      <c r="H59" s="281"/>
      <c r="I59" s="55"/>
      <c r="J59" s="55"/>
      <c r="K59" s="55"/>
      <c r="L59" s="281"/>
      <c r="M59" s="282"/>
      <c r="N59" s="281"/>
      <c r="O59" s="55"/>
      <c r="P59" s="281"/>
      <c r="Q59" s="281"/>
      <c r="R59" s="283"/>
      <c r="S59" s="283"/>
      <c r="T59" s="281"/>
      <c r="U59" s="281"/>
      <c r="V59" s="281"/>
      <c r="W59" s="281"/>
      <c r="X59" s="284"/>
      <c r="Y59" s="285"/>
      <c r="Z59" s="286"/>
      <c r="AA59" s="285"/>
      <c r="AB59" s="286"/>
      <c r="AC59" s="285"/>
      <c r="AD59" s="286"/>
    </row>
  </sheetData>
  <autoFilter ref="A1:AD52" xr:uid="{1A0ACF43-B668-45A4-987F-9A8372C8C31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704FF-6467-4B21-9DE9-BE712658875C}">
  <dimension ref="A1:Z54"/>
  <sheetViews>
    <sheetView tabSelected="1" zoomScale="70" zoomScaleNormal="70" workbookViewId="0">
      <pane xSplit="7" ySplit="1" topLeftCell="I2" activePane="bottomRight" state="frozen"/>
      <selection pane="topRight" activeCell="G1" sqref="G1"/>
      <selection pane="bottomLeft" activeCell="A2" sqref="A2"/>
      <selection pane="bottomRight" activeCell="V3" sqref="A3:XFD3"/>
    </sheetView>
  </sheetViews>
  <sheetFormatPr baseColWidth="10" defaultRowHeight="15" x14ac:dyDescent="0.25"/>
  <cols>
    <col min="1" max="1" width="16.42578125" style="15" customWidth="1"/>
    <col min="2" max="2" width="13.28515625" style="15" customWidth="1"/>
    <col min="3" max="3" width="17.5703125" style="7" customWidth="1"/>
    <col min="4" max="4" width="18.7109375" style="7" customWidth="1"/>
    <col min="5" max="5" width="14.140625" style="7" customWidth="1"/>
    <col min="6" max="6" width="9.85546875" style="7" customWidth="1"/>
    <col min="7" max="7" width="14.42578125" style="7" customWidth="1"/>
    <col min="8" max="8" width="38.42578125" style="15" customWidth="1"/>
    <col min="9" max="9" width="16.140625" style="7" customWidth="1"/>
    <col min="10" max="10" width="34.140625" style="15" customWidth="1"/>
    <col min="11" max="11" width="23.140625" style="15" customWidth="1"/>
    <col min="12" max="12" width="11.42578125" style="7"/>
    <col min="13" max="13" width="10.28515625" style="7" customWidth="1"/>
    <col min="14" max="14" width="15" style="7" customWidth="1"/>
    <col min="15" max="15" width="15.7109375" style="7" customWidth="1"/>
    <col min="16" max="16" width="12.42578125" style="15" customWidth="1"/>
    <col min="17" max="17" width="11.42578125" style="7"/>
    <col min="18" max="18" width="15.5703125" style="7" customWidth="1"/>
    <col min="19" max="19" width="16.28515625" style="15" customWidth="1"/>
    <col min="20" max="20" width="11.42578125" style="7"/>
    <col min="21" max="21" width="13.42578125" style="7" customWidth="1"/>
    <col min="22" max="22" width="23.7109375" style="7" customWidth="1"/>
    <col min="23" max="23" width="2" style="63" customWidth="1"/>
    <col min="24" max="24" width="29.5703125" style="15" customWidth="1"/>
    <col min="25" max="25" width="2" style="63" customWidth="1"/>
    <col min="26" max="26" width="29.5703125" style="15" customWidth="1"/>
    <col min="27" max="16384" width="11.42578125" style="15"/>
  </cols>
  <sheetData>
    <row r="1" spans="1:26" ht="54.75" customHeight="1" thickBot="1" x14ac:dyDescent="0.3">
      <c r="A1" s="123" t="s">
        <v>35</v>
      </c>
      <c r="B1" s="123" t="s">
        <v>36</v>
      </c>
      <c r="C1" s="124" t="s">
        <v>37</v>
      </c>
      <c r="D1" s="124" t="s">
        <v>38</v>
      </c>
      <c r="E1" s="307" t="s">
        <v>39</v>
      </c>
      <c r="F1" s="125" t="s">
        <v>68</v>
      </c>
      <c r="G1" s="126" t="s">
        <v>69</v>
      </c>
      <c r="H1" s="127" t="s">
        <v>70</v>
      </c>
      <c r="I1" s="308" t="s">
        <v>71</v>
      </c>
      <c r="J1" s="129" t="s">
        <v>72</v>
      </c>
      <c r="K1" s="127" t="s">
        <v>73</v>
      </c>
      <c r="L1" s="309" t="s">
        <v>74</v>
      </c>
      <c r="M1" s="126" t="s">
        <v>75</v>
      </c>
      <c r="N1" s="128" t="s">
        <v>76</v>
      </c>
      <c r="O1" s="130" t="s">
        <v>77</v>
      </c>
      <c r="P1" s="127" t="s">
        <v>78</v>
      </c>
      <c r="Q1" s="309" t="s">
        <v>79</v>
      </c>
      <c r="R1" s="126" t="s">
        <v>80</v>
      </c>
      <c r="S1" s="127" t="s">
        <v>81</v>
      </c>
      <c r="T1" s="128" t="s">
        <v>82</v>
      </c>
      <c r="U1" s="131" t="s">
        <v>83</v>
      </c>
      <c r="V1" s="124" t="s">
        <v>84</v>
      </c>
      <c r="W1" s="132"/>
      <c r="X1" s="133"/>
      <c r="Y1" s="134"/>
      <c r="Z1" s="133"/>
    </row>
    <row r="2" spans="1:26" ht="102.75" thickBot="1" x14ac:dyDescent="0.3">
      <c r="A2" s="8" t="s">
        <v>42</v>
      </c>
      <c r="B2" s="8" t="s">
        <v>267</v>
      </c>
      <c r="C2" s="14" t="s">
        <v>4</v>
      </c>
      <c r="D2" s="14" t="s">
        <v>268</v>
      </c>
      <c r="E2" s="20" t="s">
        <v>269</v>
      </c>
      <c r="F2" s="56">
        <v>2069</v>
      </c>
      <c r="G2" s="21" t="s">
        <v>176</v>
      </c>
      <c r="H2" s="8" t="s">
        <v>270</v>
      </c>
      <c r="I2" s="22" t="s">
        <v>271</v>
      </c>
      <c r="J2" s="74" t="s">
        <v>272</v>
      </c>
      <c r="K2" s="8" t="s">
        <v>273</v>
      </c>
      <c r="L2" s="20" t="s">
        <v>33</v>
      </c>
      <c r="M2" s="21" t="s">
        <v>274</v>
      </c>
      <c r="N2" s="22" t="s">
        <v>274</v>
      </c>
      <c r="O2" s="23" t="s">
        <v>275</v>
      </c>
      <c r="P2" s="8" t="s">
        <v>276</v>
      </c>
      <c r="Q2" s="20" t="s">
        <v>34</v>
      </c>
      <c r="R2" s="21" t="s">
        <v>277</v>
      </c>
      <c r="S2" s="8" t="s">
        <v>278</v>
      </c>
      <c r="T2" s="22" t="s">
        <v>34</v>
      </c>
      <c r="U2" s="23" t="s">
        <v>34</v>
      </c>
      <c r="V2" s="14" t="s">
        <v>33</v>
      </c>
      <c r="W2" s="62"/>
      <c r="X2" s="24"/>
      <c r="Y2" s="64"/>
      <c r="Z2" s="24"/>
    </row>
    <row r="3" spans="1:26" ht="102.75" thickBot="1" x14ac:dyDescent="0.3">
      <c r="A3" s="8" t="s">
        <v>42</v>
      </c>
      <c r="B3" s="8" t="s">
        <v>267</v>
      </c>
      <c r="C3" s="14" t="s">
        <v>4</v>
      </c>
      <c r="D3" s="14" t="s">
        <v>268</v>
      </c>
      <c r="E3" s="20" t="s">
        <v>33</v>
      </c>
      <c r="F3" s="56" t="s">
        <v>279</v>
      </c>
      <c r="G3" s="21" t="s">
        <v>180</v>
      </c>
      <c r="H3" s="8" t="s">
        <v>270</v>
      </c>
      <c r="I3" s="97" t="s">
        <v>280</v>
      </c>
      <c r="J3" s="74" t="s">
        <v>281</v>
      </c>
      <c r="K3" s="8" t="s">
        <v>273</v>
      </c>
      <c r="L3" s="20" t="s">
        <v>33</v>
      </c>
      <c r="M3" s="21" t="s">
        <v>282</v>
      </c>
      <c r="N3" s="22" t="s">
        <v>282</v>
      </c>
      <c r="O3" s="23" t="s">
        <v>283</v>
      </c>
      <c r="P3" s="8" t="s">
        <v>284</v>
      </c>
      <c r="Q3" s="20" t="s">
        <v>34</v>
      </c>
      <c r="R3" s="21" t="s">
        <v>285</v>
      </c>
      <c r="S3" s="8" t="s">
        <v>278</v>
      </c>
      <c r="T3" s="22" t="s">
        <v>34</v>
      </c>
      <c r="U3" s="23" t="s">
        <v>34</v>
      </c>
      <c r="V3" s="14" t="s">
        <v>33</v>
      </c>
      <c r="W3" s="62"/>
      <c r="X3" s="24"/>
      <c r="Y3" s="64"/>
      <c r="Z3" s="24"/>
    </row>
    <row r="4" spans="1:26" ht="102.75" thickBot="1" x14ac:dyDescent="0.3">
      <c r="A4" s="8" t="s">
        <v>42</v>
      </c>
      <c r="B4" s="8" t="s">
        <v>267</v>
      </c>
      <c r="C4" s="14" t="s">
        <v>4</v>
      </c>
      <c r="D4" s="14" t="s">
        <v>268</v>
      </c>
      <c r="E4" s="20" t="s">
        <v>33</v>
      </c>
      <c r="F4" s="56">
        <v>2072</v>
      </c>
      <c r="G4" s="21" t="s">
        <v>184</v>
      </c>
      <c r="H4" s="8" t="s">
        <v>270</v>
      </c>
      <c r="I4" s="22" t="s">
        <v>34</v>
      </c>
      <c r="J4" s="74" t="s">
        <v>183</v>
      </c>
      <c r="K4" s="8" t="s">
        <v>273</v>
      </c>
      <c r="L4" s="20" t="s">
        <v>33</v>
      </c>
      <c r="M4" s="21" t="s">
        <v>286</v>
      </c>
      <c r="N4" s="22" t="s">
        <v>286</v>
      </c>
      <c r="O4" s="23" t="s">
        <v>287</v>
      </c>
      <c r="P4" s="8" t="s">
        <v>288</v>
      </c>
      <c r="Q4" s="20" t="s">
        <v>34</v>
      </c>
      <c r="R4" s="21" t="s">
        <v>289</v>
      </c>
      <c r="S4" s="8" t="s">
        <v>278</v>
      </c>
      <c r="T4" s="22" t="s">
        <v>34</v>
      </c>
      <c r="U4" s="23" t="s">
        <v>34</v>
      </c>
      <c r="V4" s="14" t="s">
        <v>33</v>
      </c>
      <c r="W4" s="62"/>
      <c r="X4" s="24"/>
      <c r="Y4" s="64"/>
      <c r="Z4" s="24"/>
    </row>
    <row r="5" spans="1:26" ht="102.75" thickBot="1" x14ac:dyDescent="0.3">
      <c r="A5" s="8" t="s">
        <v>42</v>
      </c>
      <c r="B5" s="8" t="s">
        <v>267</v>
      </c>
      <c r="C5" s="14" t="s">
        <v>4</v>
      </c>
      <c r="D5" s="14" t="s">
        <v>268</v>
      </c>
      <c r="E5" s="20" t="s">
        <v>33</v>
      </c>
      <c r="F5" s="56">
        <v>2078</v>
      </c>
      <c r="G5" s="21" t="s">
        <v>184</v>
      </c>
      <c r="H5" s="8" t="s">
        <v>270</v>
      </c>
      <c r="I5" s="22" t="s">
        <v>34</v>
      </c>
      <c r="J5" s="74" t="s">
        <v>290</v>
      </c>
      <c r="K5" s="8" t="s">
        <v>273</v>
      </c>
      <c r="L5" s="20" t="s">
        <v>33</v>
      </c>
      <c r="M5" s="21" t="s">
        <v>291</v>
      </c>
      <c r="N5" s="22" t="s">
        <v>291</v>
      </c>
      <c r="O5" s="23" t="s">
        <v>292</v>
      </c>
      <c r="P5" s="8" t="s">
        <v>284</v>
      </c>
      <c r="Q5" s="20" t="s">
        <v>34</v>
      </c>
      <c r="R5" s="21" t="s">
        <v>293</v>
      </c>
      <c r="S5" s="8" t="s">
        <v>278</v>
      </c>
      <c r="T5" s="22" t="s">
        <v>34</v>
      </c>
      <c r="U5" s="23" t="s">
        <v>34</v>
      </c>
      <c r="V5" s="14" t="s">
        <v>33</v>
      </c>
      <c r="W5" s="62"/>
      <c r="X5" s="24"/>
      <c r="Y5" s="64"/>
      <c r="Z5" s="24"/>
    </row>
    <row r="6" spans="1:26" ht="243" thickBot="1" x14ac:dyDescent="0.3">
      <c r="A6" s="9" t="s">
        <v>28</v>
      </c>
      <c r="B6" s="9" t="s">
        <v>294</v>
      </c>
      <c r="C6" s="16" t="s">
        <v>4</v>
      </c>
      <c r="D6" s="16" t="s">
        <v>295</v>
      </c>
      <c r="E6" s="25" t="s">
        <v>33</v>
      </c>
      <c r="F6" s="57">
        <v>2084</v>
      </c>
      <c r="G6" s="26" t="s">
        <v>296</v>
      </c>
      <c r="H6" s="9" t="s">
        <v>297</v>
      </c>
      <c r="I6" s="27" t="s">
        <v>34</v>
      </c>
      <c r="J6" s="75" t="s">
        <v>298</v>
      </c>
      <c r="K6" s="9" t="s">
        <v>273</v>
      </c>
      <c r="L6" s="25" t="s">
        <v>33</v>
      </c>
      <c r="M6" s="26">
        <v>46068</v>
      </c>
      <c r="N6" s="27">
        <v>46068</v>
      </c>
      <c r="O6" s="28" t="s">
        <v>299</v>
      </c>
      <c r="P6" s="9" t="s">
        <v>284</v>
      </c>
      <c r="Q6" s="25" t="s">
        <v>34</v>
      </c>
      <c r="R6" s="26" t="s">
        <v>277</v>
      </c>
      <c r="S6" s="9" t="s">
        <v>278</v>
      </c>
      <c r="T6" s="27" t="s">
        <v>34</v>
      </c>
      <c r="U6" s="28" t="s">
        <v>34</v>
      </c>
      <c r="V6" s="16" t="s">
        <v>33</v>
      </c>
      <c r="W6" s="62"/>
      <c r="X6" s="29"/>
      <c r="Y6" s="64"/>
      <c r="Z6" s="29"/>
    </row>
    <row r="7" spans="1:26" ht="77.25" thickBot="1" x14ac:dyDescent="0.3">
      <c r="A7" s="9" t="s">
        <v>28</v>
      </c>
      <c r="B7" s="9" t="s">
        <v>294</v>
      </c>
      <c r="C7" s="16" t="s">
        <v>4</v>
      </c>
      <c r="D7" s="16" t="s">
        <v>295</v>
      </c>
      <c r="E7" s="25" t="s">
        <v>33</v>
      </c>
      <c r="F7" s="57">
        <v>2085</v>
      </c>
      <c r="G7" s="26" t="s">
        <v>300</v>
      </c>
      <c r="H7" s="9" t="s">
        <v>301</v>
      </c>
      <c r="I7" s="27" t="s">
        <v>34</v>
      </c>
      <c r="J7" s="75" t="s">
        <v>302</v>
      </c>
      <c r="K7" s="9" t="s">
        <v>273</v>
      </c>
      <c r="L7" s="25" t="s">
        <v>33</v>
      </c>
      <c r="M7" s="26">
        <v>45657</v>
      </c>
      <c r="N7" s="27">
        <v>45657</v>
      </c>
      <c r="O7" s="28" t="s">
        <v>303</v>
      </c>
      <c r="P7" s="9" t="s">
        <v>284</v>
      </c>
      <c r="Q7" s="25" t="s">
        <v>34</v>
      </c>
      <c r="R7" s="26" t="s">
        <v>277</v>
      </c>
      <c r="S7" s="9" t="s">
        <v>278</v>
      </c>
      <c r="T7" s="27" t="s">
        <v>34</v>
      </c>
      <c r="U7" s="28" t="s">
        <v>34</v>
      </c>
      <c r="V7" s="16" t="s">
        <v>33</v>
      </c>
      <c r="W7" s="62"/>
      <c r="X7" s="29"/>
      <c r="Y7" s="64"/>
      <c r="Z7" s="29"/>
    </row>
    <row r="8" spans="1:26" ht="102.75" thickBot="1" x14ac:dyDescent="0.3">
      <c r="A8" s="9" t="s">
        <v>28</v>
      </c>
      <c r="B8" s="9" t="s">
        <v>294</v>
      </c>
      <c r="C8" s="16" t="s">
        <v>4</v>
      </c>
      <c r="D8" s="16" t="s">
        <v>295</v>
      </c>
      <c r="E8" s="25" t="s">
        <v>33</v>
      </c>
      <c r="F8" s="57">
        <v>2086</v>
      </c>
      <c r="G8" s="26" t="s">
        <v>304</v>
      </c>
      <c r="H8" s="9" t="s">
        <v>301</v>
      </c>
      <c r="I8" s="65" t="s">
        <v>305</v>
      </c>
      <c r="J8" s="75" t="s">
        <v>306</v>
      </c>
      <c r="K8" s="9" t="s">
        <v>273</v>
      </c>
      <c r="L8" s="25" t="s">
        <v>33</v>
      </c>
      <c r="M8" s="26" t="s">
        <v>307</v>
      </c>
      <c r="N8" s="27" t="s">
        <v>307</v>
      </c>
      <c r="O8" s="28" t="s">
        <v>87</v>
      </c>
      <c r="P8" s="9" t="s">
        <v>284</v>
      </c>
      <c r="Q8" s="25" t="s">
        <v>34</v>
      </c>
      <c r="R8" s="26" t="s">
        <v>289</v>
      </c>
      <c r="S8" s="9" t="s">
        <v>278</v>
      </c>
      <c r="T8" s="27" t="s">
        <v>34</v>
      </c>
      <c r="U8" s="28" t="s">
        <v>34</v>
      </c>
      <c r="V8" s="16" t="s">
        <v>33</v>
      </c>
      <c r="W8" s="62"/>
      <c r="X8" s="29"/>
      <c r="Y8" s="64"/>
      <c r="Z8" s="29"/>
    </row>
    <row r="9" spans="1:26" ht="77.25" thickBot="1" x14ac:dyDescent="0.3">
      <c r="A9" s="9" t="s">
        <v>28</v>
      </c>
      <c r="B9" s="9" t="s">
        <v>294</v>
      </c>
      <c r="C9" s="16" t="s">
        <v>4</v>
      </c>
      <c r="D9" s="16" t="s">
        <v>295</v>
      </c>
      <c r="E9" s="25" t="s">
        <v>33</v>
      </c>
      <c r="F9" s="57">
        <v>2100</v>
      </c>
      <c r="G9" s="26" t="s">
        <v>28</v>
      </c>
      <c r="H9" s="9" t="s">
        <v>301</v>
      </c>
      <c r="I9" s="27" t="s">
        <v>34</v>
      </c>
      <c r="J9" s="75" t="s">
        <v>308</v>
      </c>
      <c r="K9" s="9" t="s">
        <v>273</v>
      </c>
      <c r="L9" s="25" t="s">
        <v>33</v>
      </c>
      <c r="M9" s="26" t="s">
        <v>309</v>
      </c>
      <c r="N9" s="27" t="s">
        <v>309</v>
      </c>
      <c r="O9" s="28" t="s">
        <v>87</v>
      </c>
      <c r="P9" s="9" t="s">
        <v>284</v>
      </c>
      <c r="Q9" s="25" t="s">
        <v>34</v>
      </c>
      <c r="R9" s="26" t="s">
        <v>289</v>
      </c>
      <c r="S9" s="9" t="s">
        <v>278</v>
      </c>
      <c r="T9" s="27" t="s">
        <v>34</v>
      </c>
      <c r="U9" s="28" t="s">
        <v>34</v>
      </c>
      <c r="V9" s="16" t="s">
        <v>33</v>
      </c>
      <c r="W9" s="62"/>
      <c r="X9" s="29"/>
      <c r="Y9" s="64"/>
      <c r="Z9" s="29"/>
    </row>
    <row r="10" spans="1:26" ht="64.5" thickBot="1" x14ac:dyDescent="0.3">
      <c r="A10" s="10" t="s">
        <v>31</v>
      </c>
      <c r="B10" s="10" t="s">
        <v>144</v>
      </c>
      <c r="C10" s="17" t="s">
        <v>50</v>
      </c>
      <c r="D10" s="17" t="s">
        <v>310</v>
      </c>
      <c r="E10" s="30" t="s">
        <v>33</v>
      </c>
      <c r="F10" s="58" t="s">
        <v>311</v>
      </c>
      <c r="G10" s="31" t="s">
        <v>31</v>
      </c>
      <c r="H10" s="10" t="s">
        <v>312</v>
      </c>
      <c r="I10" s="32" t="s">
        <v>34</v>
      </c>
      <c r="J10" s="76" t="s">
        <v>313</v>
      </c>
      <c r="K10" s="10" t="s">
        <v>273</v>
      </c>
      <c r="L10" s="30" t="s">
        <v>33</v>
      </c>
      <c r="M10" s="31">
        <v>45747</v>
      </c>
      <c r="N10" s="32">
        <v>45747</v>
      </c>
      <c r="O10" s="33" t="s">
        <v>275</v>
      </c>
      <c r="P10" s="10" t="s">
        <v>43</v>
      </c>
      <c r="Q10" s="30" t="s">
        <v>34</v>
      </c>
      <c r="R10" s="31" t="s">
        <v>88</v>
      </c>
      <c r="S10" s="10" t="s">
        <v>314</v>
      </c>
      <c r="T10" s="32" t="s">
        <v>34</v>
      </c>
      <c r="U10" s="33" t="s">
        <v>315</v>
      </c>
      <c r="V10" s="17" t="s">
        <v>33</v>
      </c>
      <c r="W10" s="62"/>
      <c r="X10" s="34"/>
      <c r="Y10" s="64"/>
      <c r="Z10" s="34"/>
    </row>
    <row r="11" spans="1:26" ht="64.5" thickBot="1" x14ac:dyDescent="0.3">
      <c r="A11" s="10" t="s">
        <v>31</v>
      </c>
      <c r="B11" s="10" t="s">
        <v>144</v>
      </c>
      <c r="C11" s="17" t="s">
        <v>50</v>
      </c>
      <c r="D11" s="17" t="s">
        <v>310</v>
      </c>
      <c r="E11" s="30" t="s">
        <v>33</v>
      </c>
      <c r="F11" s="58" t="s">
        <v>316</v>
      </c>
      <c r="G11" s="31" t="s">
        <v>31</v>
      </c>
      <c r="H11" s="10" t="s">
        <v>312</v>
      </c>
      <c r="I11" s="32" t="s">
        <v>34</v>
      </c>
      <c r="J11" s="76" t="s">
        <v>317</v>
      </c>
      <c r="K11" s="10" t="s">
        <v>273</v>
      </c>
      <c r="L11" s="30" t="s">
        <v>33</v>
      </c>
      <c r="M11" s="31">
        <v>45046</v>
      </c>
      <c r="N11" s="32">
        <v>45046</v>
      </c>
      <c r="O11" s="33" t="s">
        <v>318</v>
      </c>
      <c r="P11" s="10" t="s">
        <v>43</v>
      </c>
      <c r="Q11" s="30" t="s">
        <v>34</v>
      </c>
      <c r="R11" s="31" t="s">
        <v>319</v>
      </c>
      <c r="S11" s="10" t="s">
        <v>314</v>
      </c>
      <c r="T11" s="32" t="s">
        <v>34</v>
      </c>
      <c r="U11" s="33" t="s">
        <v>318</v>
      </c>
      <c r="V11" s="17" t="s">
        <v>33</v>
      </c>
      <c r="W11" s="62"/>
      <c r="X11" s="34"/>
      <c r="Y11" s="64"/>
      <c r="Z11" s="34"/>
    </row>
    <row r="12" spans="1:26" ht="64.5" thickBot="1" x14ac:dyDescent="0.3">
      <c r="A12" s="10" t="s">
        <v>31</v>
      </c>
      <c r="B12" s="10" t="s">
        <v>144</v>
      </c>
      <c r="C12" s="17" t="s">
        <v>50</v>
      </c>
      <c r="D12" s="17" t="s">
        <v>310</v>
      </c>
      <c r="E12" s="30" t="s">
        <v>33</v>
      </c>
      <c r="F12" s="58" t="s">
        <v>320</v>
      </c>
      <c r="G12" s="31" t="s">
        <v>203</v>
      </c>
      <c r="H12" s="10" t="s">
        <v>312</v>
      </c>
      <c r="I12" s="32" t="s">
        <v>34</v>
      </c>
      <c r="J12" s="76" t="s">
        <v>321</v>
      </c>
      <c r="K12" s="10" t="s">
        <v>273</v>
      </c>
      <c r="L12" s="30" t="s">
        <v>33</v>
      </c>
      <c r="M12" s="31">
        <v>44668</v>
      </c>
      <c r="N12" s="32">
        <v>44668</v>
      </c>
      <c r="O12" s="33" t="s">
        <v>322</v>
      </c>
      <c r="P12" s="10" t="s">
        <v>43</v>
      </c>
      <c r="Q12" s="30" t="s">
        <v>34</v>
      </c>
      <c r="R12" s="31" t="s">
        <v>323</v>
      </c>
      <c r="S12" s="10" t="s">
        <v>314</v>
      </c>
      <c r="T12" s="32" t="s">
        <v>34</v>
      </c>
      <c r="U12" s="33" t="s">
        <v>322</v>
      </c>
      <c r="V12" s="17" t="s">
        <v>33</v>
      </c>
      <c r="W12" s="62"/>
      <c r="X12" s="34"/>
      <c r="Y12" s="64"/>
      <c r="Z12" s="34"/>
    </row>
    <row r="13" spans="1:26" ht="64.5" thickBot="1" x14ac:dyDescent="0.3">
      <c r="A13" s="10" t="s">
        <v>31</v>
      </c>
      <c r="B13" s="10" t="s">
        <v>144</v>
      </c>
      <c r="C13" s="17" t="s">
        <v>50</v>
      </c>
      <c r="D13" s="17" t="s">
        <v>310</v>
      </c>
      <c r="E13" s="30" t="s">
        <v>33</v>
      </c>
      <c r="F13" s="58" t="s">
        <v>324</v>
      </c>
      <c r="G13" s="31" t="s">
        <v>31</v>
      </c>
      <c r="H13" s="10" t="s">
        <v>312</v>
      </c>
      <c r="I13" s="32" t="s">
        <v>34</v>
      </c>
      <c r="J13" s="76" t="s">
        <v>325</v>
      </c>
      <c r="K13" s="10" t="s">
        <v>273</v>
      </c>
      <c r="L13" s="30" t="s">
        <v>33</v>
      </c>
      <c r="M13" s="31">
        <v>44074</v>
      </c>
      <c r="N13" s="32">
        <v>44074</v>
      </c>
      <c r="O13" s="33" t="s">
        <v>326</v>
      </c>
      <c r="P13" s="10" t="s">
        <v>43</v>
      </c>
      <c r="Q13" s="30" t="s">
        <v>34</v>
      </c>
      <c r="R13" s="31" t="s">
        <v>319</v>
      </c>
      <c r="S13" s="10" t="s">
        <v>314</v>
      </c>
      <c r="T13" s="32" t="s">
        <v>34</v>
      </c>
      <c r="U13" s="33" t="s">
        <v>326</v>
      </c>
      <c r="V13" s="17" t="s">
        <v>33</v>
      </c>
      <c r="W13" s="62"/>
      <c r="X13" s="34"/>
      <c r="Y13" s="64"/>
      <c r="Z13" s="34"/>
    </row>
    <row r="14" spans="1:26" ht="64.5" thickBot="1" x14ac:dyDescent="0.3">
      <c r="A14" s="12" t="s">
        <v>30</v>
      </c>
      <c r="B14" s="12" t="s">
        <v>207</v>
      </c>
      <c r="C14" s="6" t="s">
        <v>4</v>
      </c>
      <c r="D14" s="6" t="s">
        <v>268</v>
      </c>
      <c r="E14" s="40" t="s">
        <v>33</v>
      </c>
      <c r="F14" s="59" t="s">
        <v>327</v>
      </c>
      <c r="G14" s="41" t="s">
        <v>328</v>
      </c>
      <c r="H14" s="12" t="s">
        <v>329</v>
      </c>
      <c r="I14" s="42" t="s">
        <v>34</v>
      </c>
      <c r="J14" s="77" t="s">
        <v>330</v>
      </c>
      <c r="K14" s="12" t="s">
        <v>273</v>
      </c>
      <c r="L14" s="40" t="s">
        <v>33</v>
      </c>
      <c r="M14" s="41">
        <v>45922</v>
      </c>
      <c r="N14" s="42">
        <v>45922</v>
      </c>
      <c r="O14" s="43" t="s">
        <v>284</v>
      </c>
      <c r="P14" s="12" t="s">
        <v>43</v>
      </c>
      <c r="Q14" s="40" t="s">
        <v>34</v>
      </c>
      <c r="R14" s="41" t="s">
        <v>331</v>
      </c>
      <c r="S14" s="12" t="s">
        <v>314</v>
      </c>
      <c r="T14" s="42" t="s">
        <v>34</v>
      </c>
      <c r="U14" s="43" t="s">
        <v>87</v>
      </c>
      <c r="V14" s="6" t="s">
        <v>33</v>
      </c>
      <c r="W14" s="62"/>
      <c r="X14" s="44"/>
      <c r="Y14" s="64"/>
      <c r="Z14" s="44"/>
    </row>
    <row r="15" spans="1:26" ht="64.5" thickBot="1" x14ac:dyDescent="0.3">
      <c r="A15" s="12" t="s">
        <v>30</v>
      </c>
      <c r="B15" s="12" t="s">
        <v>207</v>
      </c>
      <c r="C15" s="6" t="s">
        <v>4</v>
      </c>
      <c r="D15" s="6" t="s">
        <v>268</v>
      </c>
      <c r="E15" s="40" t="s">
        <v>33</v>
      </c>
      <c r="F15" s="59" t="s">
        <v>332</v>
      </c>
      <c r="G15" s="41" t="s">
        <v>30</v>
      </c>
      <c r="H15" s="12" t="s">
        <v>329</v>
      </c>
      <c r="I15" s="42" t="s">
        <v>34</v>
      </c>
      <c r="J15" s="77" t="s">
        <v>333</v>
      </c>
      <c r="K15" s="12" t="s">
        <v>273</v>
      </c>
      <c r="L15" s="40" t="s">
        <v>33</v>
      </c>
      <c r="M15" s="41" t="s">
        <v>334</v>
      </c>
      <c r="N15" s="42" t="s">
        <v>335</v>
      </c>
      <c r="O15" s="43" t="s">
        <v>275</v>
      </c>
      <c r="P15" s="12" t="s">
        <v>43</v>
      </c>
      <c r="Q15" s="40" t="s">
        <v>34</v>
      </c>
      <c r="R15" s="41" t="s">
        <v>323</v>
      </c>
      <c r="S15" s="12" t="s">
        <v>314</v>
      </c>
      <c r="T15" s="42" t="s">
        <v>34</v>
      </c>
      <c r="U15" s="43" t="s">
        <v>275</v>
      </c>
      <c r="V15" s="6" t="s">
        <v>33</v>
      </c>
      <c r="W15" s="62"/>
      <c r="X15" s="44"/>
      <c r="Y15" s="64"/>
      <c r="Z15" s="44"/>
    </row>
    <row r="16" spans="1:26" ht="64.5" thickBot="1" x14ac:dyDescent="0.3">
      <c r="A16" s="12" t="s">
        <v>30</v>
      </c>
      <c r="B16" s="12" t="s">
        <v>207</v>
      </c>
      <c r="C16" s="6" t="s">
        <v>4</v>
      </c>
      <c r="D16" s="6" t="s">
        <v>268</v>
      </c>
      <c r="E16" s="40" t="s">
        <v>33</v>
      </c>
      <c r="F16" s="59" t="s">
        <v>336</v>
      </c>
      <c r="G16" s="41" t="s">
        <v>30</v>
      </c>
      <c r="H16" s="12" t="s">
        <v>329</v>
      </c>
      <c r="I16" s="42" t="s">
        <v>34</v>
      </c>
      <c r="J16" s="77" t="s">
        <v>337</v>
      </c>
      <c r="K16" s="12" t="s">
        <v>273</v>
      </c>
      <c r="L16" s="40" t="s">
        <v>33</v>
      </c>
      <c r="M16" s="41">
        <v>44157</v>
      </c>
      <c r="N16" s="42">
        <v>44157</v>
      </c>
      <c r="O16" s="43" t="s">
        <v>338</v>
      </c>
      <c r="P16" s="12" t="s">
        <v>43</v>
      </c>
      <c r="Q16" s="40" t="s">
        <v>34</v>
      </c>
      <c r="R16" s="41" t="s">
        <v>339</v>
      </c>
      <c r="S16" s="12" t="s">
        <v>314</v>
      </c>
      <c r="T16" s="42" t="s">
        <v>34</v>
      </c>
      <c r="U16" s="43" t="s">
        <v>338</v>
      </c>
      <c r="V16" s="6" t="s">
        <v>33</v>
      </c>
      <c r="W16" s="62"/>
      <c r="X16" s="44"/>
      <c r="Y16" s="64"/>
      <c r="Z16" s="44"/>
    </row>
    <row r="17" spans="1:26" ht="15.75" thickBot="1" x14ac:dyDescent="0.3">
      <c r="A17" s="12"/>
      <c r="B17" s="12"/>
      <c r="C17" s="6"/>
      <c r="D17" s="6"/>
      <c r="E17" s="40"/>
      <c r="F17" s="59"/>
      <c r="G17" s="41"/>
      <c r="H17" s="12"/>
      <c r="I17" s="42"/>
      <c r="J17" s="77"/>
      <c r="K17" s="12"/>
      <c r="L17" s="40"/>
      <c r="M17" s="41"/>
      <c r="N17" s="42"/>
      <c r="O17" s="43"/>
      <c r="P17" s="12"/>
      <c r="Q17" s="40"/>
      <c r="R17" s="41"/>
      <c r="S17" s="12"/>
      <c r="T17" s="42"/>
      <c r="U17" s="43"/>
      <c r="V17" s="6"/>
      <c r="W17" s="62"/>
      <c r="X17" s="44"/>
      <c r="Y17" s="64"/>
      <c r="Z17" s="44"/>
    </row>
    <row r="18" spans="1:26" ht="64.5" thickBot="1" x14ac:dyDescent="0.3">
      <c r="A18" s="13" t="s">
        <v>29</v>
      </c>
      <c r="B18" s="13" t="s">
        <v>133</v>
      </c>
      <c r="C18" s="19" t="s">
        <v>51</v>
      </c>
      <c r="D18" s="19" t="s">
        <v>85</v>
      </c>
      <c r="E18" s="45" t="s">
        <v>33</v>
      </c>
      <c r="F18" s="60">
        <v>2135</v>
      </c>
      <c r="G18" s="46" t="s">
        <v>218</v>
      </c>
      <c r="H18" s="13" t="s">
        <v>340</v>
      </c>
      <c r="I18" s="47" t="s">
        <v>34</v>
      </c>
      <c r="J18" s="78" t="s">
        <v>341</v>
      </c>
      <c r="K18" s="13" t="s">
        <v>342</v>
      </c>
      <c r="L18" s="45" t="s">
        <v>33</v>
      </c>
      <c r="M18" s="100" t="s">
        <v>343</v>
      </c>
      <c r="N18" s="81" t="s">
        <v>343</v>
      </c>
      <c r="O18" s="48" t="s">
        <v>87</v>
      </c>
      <c r="P18" s="13" t="s">
        <v>43</v>
      </c>
      <c r="Q18" s="45" t="s">
        <v>34</v>
      </c>
      <c r="R18" s="46" t="s">
        <v>289</v>
      </c>
      <c r="S18" s="13" t="s">
        <v>344</v>
      </c>
      <c r="T18" s="47" t="s">
        <v>34</v>
      </c>
      <c r="U18" s="48" t="s">
        <v>33</v>
      </c>
      <c r="V18" s="19" t="s">
        <v>345</v>
      </c>
      <c r="W18" s="62"/>
      <c r="X18" s="49"/>
      <c r="Y18" s="64"/>
      <c r="Z18" s="49"/>
    </row>
    <row r="19" spans="1:26" ht="64.5" thickBot="1" x14ac:dyDescent="0.3">
      <c r="A19" s="13" t="s">
        <v>29</v>
      </c>
      <c r="B19" s="13" t="s">
        <v>133</v>
      </c>
      <c r="C19" s="19" t="s">
        <v>51</v>
      </c>
      <c r="D19" s="19" t="s">
        <v>85</v>
      </c>
      <c r="E19" s="45" t="s">
        <v>33</v>
      </c>
      <c r="F19" s="60">
        <v>2133</v>
      </c>
      <c r="G19" s="46" t="s">
        <v>218</v>
      </c>
      <c r="H19" s="13" t="s">
        <v>340</v>
      </c>
      <c r="I19" s="47" t="s">
        <v>34</v>
      </c>
      <c r="J19" s="78" t="s">
        <v>60</v>
      </c>
      <c r="K19" s="13" t="s">
        <v>342</v>
      </c>
      <c r="L19" s="45" t="s">
        <v>33</v>
      </c>
      <c r="M19" s="46" t="s">
        <v>346</v>
      </c>
      <c r="N19" s="47" t="s">
        <v>347</v>
      </c>
      <c r="O19" s="48" t="s">
        <v>275</v>
      </c>
      <c r="P19" s="13" t="s">
        <v>43</v>
      </c>
      <c r="Q19" s="45" t="s">
        <v>34</v>
      </c>
      <c r="R19" s="46" t="s">
        <v>277</v>
      </c>
      <c r="S19" s="13" t="s">
        <v>344</v>
      </c>
      <c r="T19" s="47" t="s">
        <v>34</v>
      </c>
      <c r="U19" s="48" t="s">
        <v>33</v>
      </c>
      <c r="V19" s="19" t="s">
        <v>33</v>
      </c>
      <c r="W19" s="62"/>
      <c r="X19" s="49"/>
      <c r="Y19" s="64"/>
      <c r="Z19" s="49"/>
    </row>
    <row r="20" spans="1:26" ht="90" thickBot="1" x14ac:dyDescent="0.3">
      <c r="A20" s="11" t="s">
        <v>348</v>
      </c>
      <c r="B20" s="11" t="s">
        <v>134</v>
      </c>
      <c r="C20" s="18" t="s">
        <v>52</v>
      </c>
      <c r="D20" s="18" t="s">
        <v>349</v>
      </c>
      <c r="E20" s="35" t="s">
        <v>33</v>
      </c>
      <c r="F20" s="61">
        <v>2140</v>
      </c>
      <c r="G20" s="36" t="s">
        <v>221</v>
      </c>
      <c r="H20" s="11" t="s">
        <v>350</v>
      </c>
      <c r="I20" s="98" t="s">
        <v>351</v>
      </c>
      <c r="J20" s="79" t="s">
        <v>352</v>
      </c>
      <c r="K20" s="11" t="s">
        <v>342</v>
      </c>
      <c r="L20" s="35" t="s">
        <v>33</v>
      </c>
      <c r="M20" s="36" t="s">
        <v>353</v>
      </c>
      <c r="N20" s="37" t="s">
        <v>347</v>
      </c>
      <c r="O20" s="38" t="s">
        <v>275</v>
      </c>
      <c r="P20" s="11" t="s">
        <v>43</v>
      </c>
      <c r="Q20" s="35" t="s">
        <v>34</v>
      </c>
      <c r="R20" s="36" t="s">
        <v>277</v>
      </c>
      <c r="S20" s="11" t="s">
        <v>344</v>
      </c>
      <c r="T20" s="37" t="s">
        <v>34</v>
      </c>
      <c r="U20" s="38" t="s">
        <v>33</v>
      </c>
      <c r="V20" s="18" t="s">
        <v>33</v>
      </c>
      <c r="W20" s="62"/>
      <c r="X20" s="39"/>
      <c r="Y20" s="64"/>
      <c r="Z20" s="39"/>
    </row>
    <row r="21" spans="1:26" ht="102.75" thickBot="1" x14ac:dyDescent="0.3">
      <c r="A21" s="11" t="s">
        <v>348</v>
      </c>
      <c r="B21" s="11" t="s">
        <v>134</v>
      </c>
      <c r="C21" s="18" t="s">
        <v>52</v>
      </c>
      <c r="D21" s="18" t="s">
        <v>349</v>
      </c>
      <c r="E21" s="35" t="s">
        <v>33</v>
      </c>
      <c r="F21" s="61">
        <v>2141</v>
      </c>
      <c r="G21" s="36" t="s">
        <v>227</v>
      </c>
      <c r="H21" s="11" t="s">
        <v>350</v>
      </c>
      <c r="I21" s="98" t="s">
        <v>354</v>
      </c>
      <c r="J21" s="79" t="s">
        <v>355</v>
      </c>
      <c r="K21" s="11" t="s">
        <v>342</v>
      </c>
      <c r="L21" s="35" t="s">
        <v>33</v>
      </c>
      <c r="M21" s="36" t="s">
        <v>356</v>
      </c>
      <c r="N21" s="37" t="s">
        <v>347</v>
      </c>
      <c r="O21" s="38" t="s">
        <v>303</v>
      </c>
      <c r="P21" s="11" t="s">
        <v>43</v>
      </c>
      <c r="Q21" s="35" t="s">
        <v>34</v>
      </c>
      <c r="R21" s="36" t="s">
        <v>277</v>
      </c>
      <c r="S21" s="11" t="s">
        <v>344</v>
      </c>
      <c r="T21" s="37" t="s">
        <v>34</v>
      </c>
      <c r="U21" s="38" t="s">
        <v>33</v>
      </c>
      <c r="V21" s="18" t="s">
        <v>33</v>
      </c>
      <c r="W21" s="62"/>
      <c r="X21" s="39"/>
      <c r="Y21" s="64"/>
      <c r="Z21" s="39"/>
    </row>
    <row r="22" spans="1:26" ht="77.25" thickBot="1" x14ac:dyDescent="0.3">
      <c r="A22" s="11" t="s">
        <v>348</v>
      </c>
      <c r="B22" s="11" t="s">
        <v>134</v>
      </c>
      <c r="C22" s="18" t="s">
        <v>52</v>
      </c>
      <c r="D22" s="18" t="s">
        <v>349</v>
      </c>
      <c r="E22" s="35" t="s">
        <v>33</v>
      </c>
      <c r="F22" s="61">
        <v>2142</v>
      </c>
      <c r="G22" s="36" t="s">
        <v>231</v>
      </c>
      <c r="H22" s="11" t="s">
        <v>350</v>
      </c>
      <c r="I22" s="37" t="s">
        <v>357</v>
      </c>
      <c r="J22" s="79" t="s">
        <v>230</v>
      </c>
      <c r="K22" s="11" t="s">
        <v>342</v>
      </c>
      <c r="L22" s="35" t="s">
        <v>33</v>
      </c>
      <c r="M22" s="36" t="s">
        <v>358</v>
      </c>
      <c r="N22" s="37" t="s">
        <v>347</v>
      </c>
      <c r="O22" s="38" t="s">
        <v>275</v>
      </c>
      <c r="P22" s="11" t="s">
        <v>43</v>
      </c>
      <c r="Q22" s="35" t="s">
        <v>34</v>
      </c>
      <c r="R22" s="36" t="s">
        <v>277</v>
      </c>
      <c r="S22" s="11" t="s">
        <v>344</v>
      </c>
      <c r="T22" s="37" t="s">
        <v>34</v>
      </c>
      <c r="U22" s="38" t="s">
        <v>33</v>
      </c>
      <c r="V22" s="18" t="s">
        <v>33</v>
      </c>
      <c r="W22" s="62"/>
      <c r="X22" s="39"/>
      <c r="Y22" s="64"/>
      <c r="Z22" s="39"/>
    </row>
    <row r="23" spans="1:26" ht="77.25" thickBot="1" x14ac:dyDescent="0.3">
      <c r="A23" s="11" t="s">
        <v>348</v>
      </c>
      <c r="B23" s="11" t="s">
        <v>134</v>
      </c>
      <c r="C23" s="18" t="s">
        <v>52</v>
      </c>
      <c r="D23" s="18" t="s">
        <v>349</v>
      </c>
      <c r="E23" s="35" t="s">
        <v>33</v>
      </c>
      <c r="F23" s="61">
        <v>2143</v>
      </c>
      <c r="G23" s="36" t="s">
        <v>234</v>
      </c>
      <c r="H23" s="11" t="s">
        <v>359</v>
      </c>
      <c r="I23" s="37" t="s">
        <v>360</v>
      </c>
      <c r="J23" s="79" t="s">
        <v>58</v>
      </c>
      <c r="K23" s="11" t="s">
        <v>342</v>
      </c>
      <c r="L23" s="35" t="s">
        <v>33</v>
      </c>
      <c r="M23" s="36" t="s">
        <v>361</v>
      </c>
      <c r="N23" s="37" t="s">
        <v>347</v>
      </c>
      <c r="O23" s="38" t="s">
        <v>275</v>
      </c>
      <c r="P23" s="11" t="s">
        <v>43</v>
      </c>
      <c r="Q23" s="35" t="s">
        <v>34</v>
      </c>
      <c r="R23" s="36" t="s">
        <v>277</v>
      </c>
      <c r="S23" s="11" t="s">
        <v>344</v>
      </c>
      <c r="T23" s="37" t="s">
        <v>34</v>
      </c>
      <c r="U23" s="38" t="s">
        <v>33</v>
      </c>
      <c r="V23" s="18" t="s">
        <v>33</v>
      </c>
      <c r="W23" s="62"/>
      <c r="X23" s="39"/>
      <c r="Y23" s="64"/>
      <c r="Z23" s="39"/>
    </row>
    <row r="24" spans="1:26" ht="77.25" thickBot="1" x14ac:dyDescent="0.3">
      <c r="A24" s="11" t="s">
        <v>348</v>
      </c>
      <c r="B24" s="11" t="s">
        <v>134</v>
      </c>
      <c r="C24" s="18" t="s">
        <v>52</v>
      </c>
      <c r="D24" s="18" t="s">
        <v>349</v>
      </c>
      <c r="E24" s="35" t="s">
        <v>33</v>
      </c>
      <c r="F24" s="61">
        <v>2144</v>
      </c>
      <c r="G24" s="36" t="s">
        <v>238</v>
      </c>
      <c r="H24" s="11" t="s">
        <v>362</v>
      </c>
      <c r="I24" s="37" t="s">
        <v>34</v>
      </c>
      <c r="J24" s="79" t="s">
        <v>237</v>
      </c>
      <c r="K24" s="11" t="s">
        <v>342</v>
      </c>
      <c r="L24" s="35" t="s">
        <v>33</v>
      </c>
      <c r="M24" s="36" t="s">
        <v>363</v>
      </c>
      <c r="N24" s="37" t="s">
        <v>347</v>
      </c>
      <c r="O24" s="38" t="s">
        <v>275</v>
      </c>
      <c r="P24" s="11" t="s">
        <v>43</v>
      </c>
      <c r="Q24" s="35" t="s">
        <v>34</v>
      </c>
      <c r="R24" s="36" t="s">
        <v>364</v>
      </c>
      <c r="S24" s="11" t="s">
        <v>344</v>
      </c>
      <c r="T24" s="37" t="s">
        <v>34</v>
      </c>
      <c r="U24" s="38" t="s">
        <v>33</v>
      </c>
      <c r="V24" s="18" t="s">
        <v>33</v>
      </c>
      <c r="W24" s="62"/>
      <c r="X24" s="39"/>
      <c r="Y24" s="64"/>
      <c r="Z24" s="39"/>
    </row>
    <row r="25" spans="1:26" ht="77.25" thickBot="1" x14ac:dyDescent="0.3">
      <c r="A25" s="66" t="s">
        <v>53</v>
      </c>
      <c r="B25" s="66" t="s">
        <v>135</v>
      </c>
      <c r="C25" s="67" t="s">
        <v>136</v>
      </c>
      <c r="D25" s="67" t="s">
        <v>365</v>
      </c>
      <c r="E25" s="68" t="s">
        <v>33</v>
      </c>
      <c r="F25" s="69">
        <v>2150</v>
      </c>
      <c r="G25" s="70" t="s">
        <v>366</v>
      </c>
      <c r="H25" s="66" t="s">
        <v>367</v>
      </c>
      <c r="I25" s="99" t="s">
        <v>368</v>
      </c>
      <c r="J25" s="80" t="s">
        <v>240</v>
      </c>
      <c r="K25" s="66" t="s">
        <v>342</v>
      </c>
      <c r="L25" s="68" t="s">
        <v>33</v>
      </c>
      <c r="M25" s="70" t="s">
        <v>353</v>
      </c>
      <c r="N25" s="71" t="s">
        <v>347</v>
      </c>
      <c r="O25" s="72" t="s">
        <v>275</v>
      </c>
      <c r="P25" s="66" t="s">
        <v>43</v>
      </c>
      <c r="Q25" s="68" t="s">
        <v>34</v>
      </c>
      <c r="R25" s="70" t="s">
        <v>289</v>
      </c>
      <c r="S25" s="66" t="s">
        <v>344</v>
      </c>
      <c r="T25" s="71" t="s">
        <v>34</v>
      </c>
      <c r="U25" s="72" t="s">
        <v>33</v>
      </c>
      <c r="V25" s="67" t="s">
        <v>33</v>
      </c>
      <c r="W25" s="62"/>
      <c r="X25" s="73"/>
      <c r="Y25" s="64"/>
      <c r="Z25" s="73"/>
    </row>
    <row r="26" spans="1:26" ht="100.5" customHeight="1" thickBot="1" x14ac:dyDescent="0.3">
      <c r="A26" s="66" t="s">
        <v>53</v>
      </c>
      <c r="B26" s="66" t="s">
        <v>135</v>
      </c>
      <c r="C26" s="67" t="s">
        <v>136</v>
      </c>
      <c r="D26" s="67" t="s">
        <v>365</v>
      </c>
      <c r="E26" s="68" t="s">
        <v>33</v>
      </c>
      <c r="F26" s="69">
        <v>2151</v>
      </c>
      <c r="G26" s="70" t="s">
        <v>244</v>
      </c>
      <c r="H26" s="66" t="s">
        <v>369</v>
      </c>
      <c r="I26" s="71" t="s">
        <v>34</v>
      </c>
      <c r="J26" s="80" t="s">
        <v>243</v>
      </c>
      <c r="K26" s="66" t="s">
        <v>342</v>
      </c>
      <c r="L26" s="68" t="s">
        <v>33</v>
      </c>
      <c r="M26" s="70" t="s">
        <v>370</v>
      </c>
      <c r="N26" s="71" t="s">
        <v>347</v>
      </c>
      <c r="O26" s="72" t="s">
        <v>275</v>
      </c>
      <c r="P26" s="66" t="s">
        <v>43</v>
      </c>
      <c r="Q26" s="68" t="s">
        <v>34</v>
      </c>
      <c r="R26" s="70" t="s">
        <v>277</v>
      </c>
      <c r="S26" s="66" t="s">
        <v>344</v>
      </c>
      <c r="T26" s="71" t="s">
        <v>34</v>
      </c>
      <c r="U26" s="72" t="s">
        <v>33</v>
      </c>
      <c r="V26" s="67" t="s">
        <v>33</v>
      </c>
      <c r="W26" s="62"/>
      <c r="X26" s="73"/>
      <c r="Y26" s="64"/>
      <c r="Z26" s="73"/>
    </row>
    <row r="27" spans="1:26" ht="128.25" thickBot="1" x14ac:dyDescent="0.3">
      <c r="A27" s="66" t="s">
        <v>53</v>
      </c>
      <c r="B27" s="66" t="s">
        <v>135</v>
      </c>
      <c r="C27" s="67" t="s">
        <v>136</v>
      </c>
      <c r="D27" s="67" t="s">
        <v>365</v>
      </c>
      <c r="E27" s="68" t="s">
        <v>33</v>
      </c>
      <c r="F27" s="69">
        <v>2152</v>
      </c>
      <c r="G27" s="70" t="s">
        <v>371</v>
      </c>
      <c r="H27" s="66" t="s">
        <v>369</v>
      </c>
      <c r="I27" s="99" t="s">
        <v>372</v>
      </c>
      <c r="J27" s="80" t="s">
        <v>245</v>
      </c>
      <c r="K27" s="66" t="s">
        <v>342</v>
      </c>
      <c r="L27" s="68" t="s">
        <v>33</v>
      </c>
      <c r="M27" s="70" t="s">
        <v>373</v>
      </c>
      <c r="N27" s="71" t="s">
        <v>347</v>
      </c>
      <c r="O27" s="72" t="s">
        <v>303</v>
      </c>
      <c r="P27" s="66" t="s">
        <v>43</v>
      </c>
      <c r="Q27" s="68" t="s">
        <v>34</v>
      </c>
      <c r="R27" s="70" t="s">
        <v>277</v>
      </c>
      <c r="S27" s="66" t="s">
        <v>344</v>
      </c>
      <c r="T27" s="71" t="s">
        <v>34</v>
      </c>
      <c r="U27" s="72" t="s">
        <v>33</v>
      </c>
      <c r="V27" s="67" t="s">
        <v>33</v>
      </c>
      <c r="W27" s="62"/>
      <c r="X27" s="73"/>
      <c r="Y27" s="64"/>
      <c r="Z27" s="73"/>
    </row>
    <row r="28" spans="1:26" s="63" customFormat="1" ht="63.75" x14ac:dyDescent="0.25">
      <c r="A28" s="111" t="s">
        <v>374</v>
      </c>
      <c r="B28" s="111" t="s">
        <v>445</v>
      </c>
      <c r="C28" s="112" t="s">
        <v>138</v>
      </c>
      <c r="D28" s="112" t="s">
        <v>138</v>
      </c>
      <c r="E28" s="112" t="s">
        <v>33</v>
      </c>
      <c r="F28" s="112">
        <v>2157</v>
      </c>
      <c r="G28" s="112" t="s">
        <v>67</v>
      </c>
      <c r="H28" s="111" t="s">
        <v>446</v>
      </c>
      <c r="I28" s="113" t="s">
        <v>34</v>
      </c>
      <c r="J28" s="111" t="s">
        <v>447</v>
      </c>
      <c r="K28" s="111" t="s">
        <v>448</v>
      </c>
      <c r="L28" s="112" t="s">
        <v>33</v>
      </c>
      <c r="M28" s="112">
        <v>45688</v>
      </c>
      <c r="N28" s="112">
        <v>45688</v>
      </c>
      <c r="O28" s="112" t="s">
        <v>449</v>
      </c>
      <c r="P28" s="111" t="s">
        <v>450</v>
      </c>
      <c r="Q28" s="112" t="s">
        <v>34</v>
      </c>
      <c r="R28" s="112" t="s">
        <v>375</v>
      </c>
      <c r="S28" s="111" t="s">
        <v>451</v>
      </c>
      <c r="T28" s="112" t="s">
        <v>34</v>
      </c>
      <c r="U28" s="112" t="s">
        <v>33</v>
      </c>
      <c r="V28" s="112" t="s">
        <v>33</v>
      </c>
      <c r="W28" s="109"/>
      <c r="X28" s="114"/>
      <c r="Y28" s="110"/>
      <c r="Z28" s="114"/>
    </row>
    <row r="29" spans="1:26" s="63" customFormat="1" ht="63.75" x14ac:dyDescent="0.25">
      <c r="A29" s="111" t="s">
        <v>374</v>
      </c>
      <c r="B29" s="111" t="s">
        <v>445</v>
      </c>
      <c r="C29" s="112" t="s">
        <v>138</v>
      </c>
      <c r="D29" s="112" t="s">
        <v>138</v>
      </c>
      <c r="E29" s="112" t="s">
        <v>33</v>
      </c>
      <c r="F29" s="112">
        <v>2158</v>
      </c>
      <c r="G29" s="112" t="s">
        <v>250</v>
      </c>
      <c r="H29" s="111" t="s">
        <v>452</v>
      </c>
      <c r="I29" s="113" t="s">
        <v>34</v>
      </c>
      <c r="J29" s="111" t="s">
        <v>453</v>
      </c>
      <c r="K29" s="111" t="s">
        <v>448</v>
      </c>
      <c r="L29" s="112" t="s">
        <v>33</v>
      </c>
      <c r="M29" s="112">
        <v>43320</v>
      </c>
      <c r="N29" s="112">
        <v>43320</v>
      </c>
      <c r="O29" s="112" t="s">
        <v>449</v>
      </c>
      <c r="P29" s="111" t="s">
        <v>450</v>
      </c>
      <c r="Q29" s="112" t="s">
        <v>34</v>
      </c>
      <c r="R29" s="112" t="s">
        <v>277</v>
      </c>
      <c r="S29" s="111" t="s">
        <v>451</v>
      </c>
      <c r="T29" s="112" t="s">
        <v>34</v>
      </c>
      <c r="U29" s="112" t="s">
        <v>33</v>
      </c>
      <c r="V29" s="112" t="s">
        <v>33</v>
      </c>
      <c r="W29" s="109"/>
      <c r="X29" s="114"/>
      <c r="Y29" s="110"/>
      <c r="Z29" s="114"/>
    </row>
    <row r="30" spans="1:26" s="63" customFormat="1" ht="63.75" x14ac:dyDescent="0.25">
      <c r="A30" s="115" t="s">
        <v>376</v>
      </c>
      <c r="B30" s="115" t="s">
        <v>454</v>
      </c>
      <c r="C30" s="116" t="s">
        <v>138</v>
      </c>
      <c r="D30" s="116" t="s">
        <v>138</v>
      </c>
      <c r="E30" s="116" t="s">
        <v>33</v>
      </c>
      <c r="F30" s="116">
        <v>2180</v>
      </c>
      <c r="G30" s="116" t="s">
        <v>254</v>
      </c>
      <c r="H30" s="115" t="s">
        <v>455</v>
      </c>
      <c r="I30" s="117" t="s">
        <v>34</v>
      </c>
      <c r="J30" s="115" t="s">
        <v>456</v>
      </c>
      <c r="K30" s="115" t="s">
        <v>448</v>
      </c>
      <c r="L30" s="116" t="s">
        <v>33</v>
      </c>
      <c r="M30" s="116" t="s">
        <v>343</v>
      </c>
      <c r="N30" s="116" t="s">
        <v>457</v>
      </c>
      <c r="O30" s="116" t="s">
        <v>449</v>
      </c>
      <c r="P30" s="115" t="s">
        <v>450</v>
      </c>
      <c r="Q30" s="116" t="s">
        <v>34</v>
      </c>
      <c r="R30" s="116" t="s">
        <v>277</v>
      </c>
      <c r="S30" s="115" t="s">
        <v>451</v>
      </c>
      <c r="T30" s="116" t="s">
        <v>34</v>
      </c>
      <c r="U30" s="116" t="s">
        <v>33</v>
      </c>
      <c r="V30" s="116" t="s">
        <v>33</v>
      </c>
      <c r="W30" s="109"/>
      <c r="X30" s="118"/>
      <c r="Y30" s="110"/>
      <c r="Z30" s="118"/>
    </row>
    <row r="31" spans="1:26" s="63" customFormat="1" ht="51" x14ac:dyDescent="0.25">
      <c r="A31" s="115" t="s">
        <v>376</v>
      </c>
      <c r="B31" s="115" t="s">
        <v>454</v>
      </c>
      <c r="C31" s="116" t="s">
        <v>138</v>
      </c>
      <c r="D31" s="116" t="s">
        <v>138</v>
      </c>
      <c r="E31" s="116" t="s">
        <v>33</v>
      </c>
      <c r="F31" s="116">
        <v>2181</v>
      </c>
      <c r="G31" s="116" t="s">
        <v>256</v>
      </c>
      <c r="H31" s="115" t="s">
        <v>455</v>
      </c>
      <c r="I31" s="117" t="s">
        <v>34</v>
      </c>
      <c r="J31" s="115" t="s">
        <v>458</v>
      </c>
      <c r="K31" s="115" t="s">
        <v>448</v>
      </c>
      <c r="L31" s="116" t="s">
        <v>33</v>
      </c>
      <c r="M31" s="116">
        <v>43863</v>
      </c>
      <c r="N31" s="116">
        <v>43863</v>
      </c>
      <c r="O31" s="116" t="s">
        <v>449</v>
      </c>
      <c r="P31" s="115" t="s">
        <v>450</v>
      </c>
      <c r="Q31" s="116" t="s">
        <v>34</v>
      </c>
      <c r="R31" s="116" t="s">
        <v>277</v>
      </c>
      <c r="S31" s="115" t="s">
        <v>451</v>
      </c>
      <c r="T31" s="116" t="s">
        <v>34</v>
      </c>
      <c r="U31" s="116" t="s">
        <v>33</v>
      </c>
      <c r="V31" s="116" t="s">
        <v>33</v>
      </c>
      <c r="W31" s="109"/>
      <c r="X31" s="118"/>
      <c r="Y31" s="110"/>
      <c r="Z31" s="118"/>
    </row>
    <row r="32" spans="1:26" s="63" customFormat="1" ht="76.5" x14ac:dyDescent="0.25">
      <c r="A32" s="115" t="s">
        <v>376</v>
      </c>
      <c r="B32" s="115" t="s">
        <v>454</v>
      </c>
      <c r="C32" s="116" t="s">
        <v>138</v>
      </c>
      <c r="D32" s="116" t="s">
        <v>138</v>
      </c>
      <c r="E32" s="116" t="s">
        <v>33</v>
      </c>
      <c r="F32" s="116">
        <v>2182</v>
      </c>
      <c r="G32" s="116" t="s">
        <v>257</v>
      </c>
      <c r="H32" s="115" t="s">
        <v>455</v>
      </c>
      <c r="I32" s="117" t="s">
        <v>459</v>
      </c>
      <c r="J32" s="115" t="s">
        <v>460</v>
      </c>
      <c r="K32" s="115" t="s">
        <v>448</v>
      </c>
      <c r="L32" s="116" t="s">
        <v>33</v>
      </c>
      <c r="M32" s="116">
        <v>43475</v>
      </c>
      <c r="N32" s="116">
        <v>43475</v>
      </c>
      <c r="O32" s="116" t="s">
        <v>449</v>
      </c>
      <c r="P32" s="115" t="s">
        <v>450</v>
      </c>
      <c r="Q32" s="116" t="s">
        <v>34</v>
      </c>
      <c r="R32" s="116" t="s">
        <v>277</v>
      </c>
      <c r="S32" s="115" t="s">
        <v>451</v>
      </c>
      <c r="T32" s="116" t="s">
        <v>34</v>
      </c>
      <c r="U32" s="116" t="s">
        <v>33</v>
      </c>
      <c r="V32" s="116" t="s">
        <v>33</v>
      </c>
      <c r="W32" s="109"/>
      <c r="X32" s="118"/>
      <c r="Y32" s="110"/>
      <c r="Z32" s="118"/>
    </row>
    <row r="33" spans="1:26" ht="60" x14ac:dyDescent="0.25">
      <c r="A33" s="101" t="s">
        <v>56</v>
      </c>
      <c r="B33" s="101" t="s">
        <v>165</v>
      </c>
      <c r="C33" s="102" t="s">
        <v>377</v>
      </c>
      <c r="D33" s="102" t="s">
        <v>377</v>
      </c>
      <c r="E33" s="102" t="s">
        <v>33</v>
      </c>
      <c r="F33" s="102">
        <v>5</v>
      </c>
      <c r="G33" s="102" t="s">
        <v>378</v>
      </c>
      <c r="H33" s="101" t="s">
        <v>56</v>
      </c>
      <c r="I33" s="102" t="s">
        <v>379</v>
      </c>
      <c r="J33" s="101" t="s">
        <v>380</v>
      </c>
      <c r="K33" s="101" t="s">
        <v>381</v>
      </c>
      <c r="L33" s="102" t="s">
        <v>33</v>
      </c>
      <c r="M33" s="102">
        <v>45443</v>
      </c>
      <c r="N33" s="102" t="s">
        <v>33</v>
      </c>
      <c r="O33" s="102" t="s">
        <v>382</v>
      </c>
      <c r="P33" s="101" t="s">
        <v>382</v>
      </c>
      <c r="Q33" s="102" t="s">
        <v>34</v>
      </c>
      <c r="R33" s="102" t="s">
        <v>375</v>
      </c>
      <c r="S33" s="101" t="s">
        <v>383</v>
      </c>
      <c r="T33" s="102" t="s">
        <v>33</v>
      </c>
      <c r="U33" s="102" t="s">
        <v>384</v>
      </c>
      <c r="V33" s="102" t="s">
        <v>33</v>
      </c>
      <c r="X33" s="101"/>
      <c r="Z33" s="101"/>
    </row>
    <row r="34" spans="1:26" ht="60" x14ac:dyDescent="0.25">
      <c r="A34" s="101" t="s">
        <v>56</v>
      </c>
      <c r="B34" s="101" t="s">
        <v>165</v>
      </c>
      <c r="C34" s="102" t="s">
        <v>377</v>
      </c>
      <c r="D34" s="102" t="s">
        <v>377</v>
      </c>
      <c r="E34" s="102" t="s">
        <v>33</v>
      </c>
      <c r="F34" s="102">
        <v>6</v>
      </c>
      <c r="G34" s="102" t="s">
        <v>385</v>
      </c>
      <c r="H34" s="101" t="s">
        <v>56</v>
      </c>
      <c r="I34" s="102" t="s">
        <v>33</v>
      </c>
      <c r="J34" s="101" t="s">
        <v>386</v>
      </c>
      <c r="K34" s="101" t="s">
        <v>381</v>
      </c>
      <c r="L34" s="102" t="s">
        <v>33</v>
      </c>
      <c r="M34" s="102">
        <v>45230</v>
      </c>
      <c r="N34" s="102" t="s">
        <v>33</v>
      </c>
      <c r="O34" s="102" t="s">
        <v>382</v>
      </c>
      <c r="P34" s="101" t="s">
        <v>382</v>
      </c>
      <c r="Q34" s="102" t="s">
        <v>34</v>
      </c>
      <c r="R34" s="102" t="s">
        <v>277</v>
      </c>
      <c r="S34" s="101" t="s">
        <v>383</v>
      </c>
      <c r="T34" s="102" t="s">
        <v>33</v>
      </c>
      <c r="U34" s="102" t="s">
        <v>387</v>
      </c>
      <c r="V34" s="102" t="s">
        <v>33</v>
      </c>
      <c r="X34" s="101"/>
      <c r="Z34" s="101"/>
    </row>
    <row r="35" spans="1:26" ht="60" x14ac:dyDescent="0.25">
      <c r="A35" s="101" t="s">
        <v>56</v>
      </c>
      <c r="B35" s="101" t="s">
        <v>165</v>
      </c>
      <c r="C35" s="102" t="s">
        <v>377</v>
      </c>
      <c r="D35" s="102" t="s">
        <v>377</v>
      </c>
      <c r="E35" s="102" t="s">
        <v>33</v>
      </c>
      <c r="F35" s="102">
        <v>7</v>
      </c>
      <c r="G35" s="102" t="s">
        <v>385</v>
      </c>
      <c r="H35" s="101" t="s">
        <v>56</v>
      </c>
      <c r="I35" s="102" t="s">
        <v>33</v>
      </c>
      <c r="J35" s="101" t="s">
        <v>388</v>
      </c>
      <c r="K35" s="101" t="s">
        <v>381</v>
      </c>
      <c r="L35" s="102" t="s">
        <v>33</v>
      </c>
      <c r="M35" s="102">
        <v>44985</v>
      </c>
      <c r="N35" s="102" t="s">
        <v>33</v>
      </c>
      <c r="O35" s="102" t="s">
        <v>382</v>
      </c>
      <c r="P35" s="101" t="s">
        <v>382</v>
      </c>
      <c r="Q35" s="102" t="s">
        <v>34</v>
      </c>
      <c r="R35" s="102" t="s">
        <v>277</v>
      </c>
      <c r="S35" s="101" t="s">
        <v>383</v>
      </c>
      <c r="T35" s="102" t="s">
        <v>33</v>
      </c>
      <c r="U35" s="102" t="s">
        <v>387</v>
      </c>
      <c r="V35" s="102" t="s">
        <v>33</v>
      </c>
      <c r="X35" s="101"/>
      <c r="Z35" s="101"/>
    </row>
    <row r="36" spans="1:26" ht="60" x14ac:dyDescent="0.25">
      <c r="A36" s="101" t="s">
        <v>56</v>
      </c>
      <c r="B36" s="101" t="s">
        <v>165</v>
      </c>
      <c r="C36" s="102" t="s">
        <v>377</v>
      </c>
      <c r="D36" s="102" t="s">
        <v>377</v>
      </c>
      <c r="E36" s="102" t="s">
        <v>33</v>
      </c>
      <c r="F36" s="102">
        <v>8</v>
      </c>
      <c r="G36" s="102" t="s">
        <v>389</v>
      </c>
      <c r="H36" s="101" t="s">
        <v>56</v>
      </c>
      <c r="I36" s="102" t="s">
        <v>33</v>
      </c>
      <c r="J36" s="101" t="s">
        <v>390</v>
      </c>
      <c r="K36" s="101" t="s">
        <v>381</v>
      </c>
      <c r="L36" s="102" t="s">
        <v>33</v>
      </c>
      <c r="M36" s="102">
        <v>44408</v>
      </c>
      <c r="N36" s="102" t="s">
        <v>33</v>
      </c>
      <c r="O36" s="102" t="s">
        <v>382</v>
      </c>
      <c r="P36" s="101" t="s">
        <v>382</v>
      </c>
      <c r="Q36" s="102" t="s">
        <v>34</v>
      </c>
      <c r="R36" s="102" t="s">
        <v>277</v>
      </c>
      <c r="S36" s="101" t="s">
        <v>383</v>
      </c>
      <c r="T36" s="102" t="s">
        <v>33</v>
      </c>
      <c r="U36" s="102" t="s">
        <v>391</v>
      </c>
      <c r="V36" s="102" t="s">
        <v>33</v>
      </c>
      <c r="X36" s="101"/>
      <c r="Z36" s="101"/>
    </row>
    <row r="37" spans="1:26" ht="60" x14ac:dyDescent="0.25">
      <c r="A37" s="101" t="s">
        <v>56</v>
      </c>
      <c r="B37" s="101" t="s">
        <v>165</v>
      </c>
      <c r="C37" s="102" t="s">
        <v>377</v>
      </c>
      <c r="D37" s="102" t="s">
        <v>377</v>
      </c>
      <c r="E37" s="102" t="s">
        <v>33</v>
      </c>
      <c r="F37" s="102">
        <v>9</v>
      </c>
      <c r="G37" s="102" t="s">
        <v>392</v>
      </c>
      <c r="H37" s="101" t="s">
        <v>56</v>
      </c>
      <c r="I37" s="102" t="s">
        <v>393</v>
      </c>
      <c r="J37" s="101" t="s">
        <v>394</v>
      </c>
      <c r="K37" s="101" t="s">
        <v>381</v>
      </c>
      <c r="L37" s="102" t="s">
        <v>33</v>
      </c>
      <c r="M37" s="102">
        <v>43434</v>
      </c>
      <c r="N37" s="102" t="s">
        <v>33</v>
      </c>
      <c r="O37" s="102" t="s">
        <v>382</v>
      </c>
      <c r="P37" s="101" t="s">
        <v>382</v>
      </c>
      <c r="Q37" s="102" t="s">
        <v>34</v>
      </c>
      <c r="R37" s="102" t="s">
        <v>277</v>
      </c>
      <c r="S37" s="101" t="s">
        <v>383</v>
      </c>
      <c r="T37" s="102" t="s">
        <v>33</v>
      </c>
      <c r="U37" s="102" t="s">
        <v>384</v>
      </c>
      <c r="V37" s="102" t="s">
        <v>33</v>
      </c>
      <c r="X37" s="101"/>
      <c r="Z37" s="101"/>
    </row>
    <row r="38" spans="1:26" ht="60" x14ac:dyDescent="0.25">
      <c r="A38" s="101" t="s">
        <v>56</v>
      </c>
      <c r="B38" s="101" t="s">
        <v>165</v>
      </c>
      <c r="C38" s="102" t="s">
        <v>377</v>
      </c>
      <c r="D38" s="102" t="s">
        <v>377</v>
      </c>
      <c r="E38" s="102" t="s">
        <v>33</v>
      </c>
      <c r="F38" s="102">
        <v>10</v>
      </c>
      <c r="G38" s="102" t="s">
        <v>395</v>
      </c>
      <c r="H38" s="101" t="s">
        <v>56</v>
      </c>
      <c r="I38" s="102" t="s">
        <v>393</v>
      </c>
      <c r="J38" s="101" t="s">
        <v>396</v>
      </c>
      <c r="K38" s="101" t="s">
        <v>381</v>
      </c>
      <c r="L38" s="102" t="s">
        <v>33</v>
      </c>
      <c r="M38" s="102">
        <v>42674</v>
      </c>
      <c r="N38" s="102" t="s">
        <v>33</v>
      </c>
      <c r="O38" s="102" t="s">
        <v>382</v>
      </c>
      <c r="P38" s="101" t="s">
        <v>382</v>
      </c>
      <c r="Q38" s="102" t="s">
        <v>34</v>
      </c>
      <c r="R38" s="102" t="s">
        <v>277</v>
      </c>
      <c r="S38" s="101" t="s">
        <v>383</v>
      </c>
      <c r="T38" s="102" t="s">
        <v>33</v>
      </c>
      <c r="U38" s="102" t="s">
        <v>384</v>
      </c>
      <c r="V38" s="102" t="s">
        <v>33</v>
      </c>
      <c r="X38" s="101"/>
      <c r="Z38" s="101"/>
    </row>
    <row r="39" spans="1:26" ht="60" x14ac:dyDescent="0.25">
      <c r="A39" s="103" t="s">
        <v>86</v>
      </c>
      <c r="B39" s="103" t="s">
        <v>397</v>
      </c>
      <c r="C39" s="104" t="s">
        <v>377</v>
      </c>
      <c r="D39" s="104" t="s">
        <v>377</v>
      </c>
      <c r="E39" s="104" t="s">
        <v>33</v>
      </c>
      <c r="F39" s="104">
        <v>16</v>
      </c>
      <c r="G39" s="104" t="s">
        <v>398</v>
      </c>
      <c r="H39" s="103" t="s">
        <v>399</v>
      </c>
      <c r="I39" s="104" t="s">
        <v>33</v>
      </c>
      <c r="J39" s="103" t="s">
        <v>400</v>
      </c>
      <c r="K39" s="103" t="s">
        <v>381</v>
      </c>
      <c r="L39" s="104" t="s">
        <v>33</v>
      </c>
      <c r="M39" s="104">
        <v>46022</v>
      </c>
      <c r="N39" s="104" t="s">
        <v>33</v>
      </c>
      <c r="O39" s="104" t="s">
        <v>382</v>
      </c>
      <c r="P39" s="103" t="s">
        <v>382</v>
      </c>
      <c r="Q39" s="104" t="s">
        <v>34</v>
      </c>
      <c r="R39" s="104" t="s">
        <v>401</v>
      </c>
      <c r="S39" s="103" t="s">
        <v>383</v>
      </c>
      <c r="T39" s="104" t="s">
        <v>33</v>
      </c>
      <c r="U39" s="104" t="s">
        <v>402</v>
      </c>
      <c r="V39" s="104" t="s">
        <v>33</v>
      </c>
      <c r="X39" s="103"/>
      <c r="Z39" s="103"/>
    </row>
    <row r="40" spans="1:26" ht="60" x14ac:dyDescent="0.25">
      <c r="A40" s="103" t="s">
        <v>86</v>
      </c>
      <c r="B40" s="103" t="s">
        <v>397</v>
      </c>
      <c r="C40" s="104" t="s">
        <v>377</v>
      </c>
      <c r="D40" s="104" t="s">
        <v>377</v>
      </c>
      <c r="E40" s="104" t="s">
        <v>33</v>
      </c>
      <c r="F40" s="104">
        <v>17</v>
      </c>
      <c r="G40" s="104" t="s">
        <v>262</v>
      </c>
      <c r="H40" s="103" t="s">
        <v>399</v>
      </c>
      <c r="I40" s="104" t="s">
        <v>393</v>
      </c>
      <c r="J40" s="103" t="s">
        <v>403</v>
      </c>
      <c r="K40" s="103" t="s">
        <v>381</v>
      </c>
      <c r="L40" s="104" t="s">
        <v>33</v>
      </c>
      <c r="M40" s="104">
        <v>44834</v>
      </c>
      <c r="N40" s="104" t="s">
        <v>33</v>
      </c>
      <c r="O40" s="104" t="s">
        <v>382</v>
      </c>
      <c r="P40" s="103" t="s">
        <v>382</v>
      </c>
      <c r="Q40" s="104" t="s">
        <v>34</v>
      </c>
      <c r="R40" s="104" t="s">
        <v>401</v>
      </c>
      <c r="S40" s="103" t="s">
        <v>383</v>
      </c>
      <c r="T40" s="104" t="s">
        <v>33</v>
      </c>
      <c r="U40" s="104">
        <v>46054</v>
      </c>
      <c r="V40" s="104" t="s">
        <v>33</v>
      </c>
      <c r="X40" s="103"/>
      <c r="Z40" s="103"/>
    </row>
    <row r="41" spans="1:26" ht="60" x14ac:dyDescent="0.25">
      <c r="A41" s="107" t="s">
        <v>54</v>
      </c>
      <c r="B41" s="107" t="s">
        <v>190</v>
      </c>
      <c r="C41" s="108" t="s">
        <v>377</v>
      </c>
      <c r="D41" s="108" t="s">
        <v>377</v>
      </c>
      <c r="E41" s="108" t="s">
        <v>33</v>
      </c>
      <c r="F41" s="108">
        <v>22</v>
      </c>
      <c r="G41" s="108" t="s">
        <v>404</v>
      </c>
      <c r="H41" s="107" t="s">
        <v>405</v>
      </c>
      <c r="I41" s="108" t="s">
        <v>33</v>
      </c>
      <c r="J41" s="107" t="s">
        <v>406</v>
      </c>
      <c r="K41" s="107" t="s">
        <v>381</v>
      </c>
      <c r="L41" s="108" t="s">
        <v>33</v>
      </c>
      <c r="M41" s="108">
        <v>44501</v>
      </c>
      <c r="N41" s="108" t="s">
        <v>33</v>
      </c>
      <c r="O41" s="108" t="s">
        <v>382</v>
      </c>
      <c r="P41" s="107" t="s">
        <v>382</v>
      </c>
      <c r="Q41" s="108" t="s">
        <v>34</v>
      </c>
      <c r="R41" s="108" t="s">
        <v>277</v>
      </c>
      <c r="S41" s="107" t="s">
        <v>383</v>
      </c>
      <c r="T41" s="108" t="s">
        <v>33</v>
      </c>
      <c r="U41" s="108" t="s">
        <v>382</v>
      </c>
      <c r="V41" s="108" t="s">
        <v>33</v>
      </c>
      <c r="X41" s="107"/>
      <c r="Z41" s="107"/>
    </row>
    <row r="42" spans="1:26" ht="60" x14ac:dyDescent="0.25">
      <c r="A42" s="107" t="s">
        <v>54</v>
      </c>
      <c r="B42" s="107" t="s">
        <v>190</v>
      </c>
      <c r="C42" s="108" t="s">
        <v>377</v>
      </c>
      <c r="D42" s="108" t="s">
        <v>377</v>
      </c>
      <c r="E42" s="108" t="s">
        <v>33</v>
      </c>
      <c r="F42" s="108">
        <v>23</v>
      </c>
      <c r="G42" s="108" t="s">
        <v>407</v>
      </c>
      <c r="H42" s="107" t="s">
        <v>405</v>
      </c>
      <c r="I42" s="108" t="s">
        <v>393</v>
      </c>
      <c r="J42" s="107" t="s">
        <v>408</v>
      </c>
      <c r="K42" s="107" t="s">
        <v>381</v>
      </c>
      <c r="L42" s="108" t="s">
        <v>33</v>
      </c>
      <c r="M42" s="108">
        <v>45786</v>
      </c>
      <c r="N42" s="108" t="s">
        <v>33</v>
      </c>
      <c r="O42" s="108" t="s">
        <v>382</v>
      </c>
      <c r="P42" s="107" t="s">
        <v>382</v>
      </c>
      <c r="Q42" s="108" t="s">
        <v>34</v>
      </c>
      <c r="R42" s="108" t="s">
        <v>409</v>
      </c>
      <c r="S42" s="107" t="s">
        <v>383</v>
      </c>
      <c r="T42" s="108" t="s">
        <v>33</v>
      </c>
      <c r="U42" s="108">
        <v>46113</v>
      </c>
      <c r="V42" s="108" t="s">
        <v>33</v>
      </c>
      <c r="X42" s="107"/>
      <c r="Z42" s="107"/>
    </row>
    <row r="43" spans="1:26" ht="45" x14ac:dyDescent="0.25">
      <c r="A43" s="105" t="s">
        <v>55</v>
      </c>
      <c r="B43" s="105" t="s">
        <v>410</v>
      </c>
      <c r="C43" s="106" t="s">
        <v>377</v>
      </c>
      <c r="D43" s="106" t="s">
        <v>377</v>
      </c>
      <c r="E43" s="106" t="s">
        <v>33</v>
      </c>
      <c r="F43" s="106">
        <v>30</v>
      </c>
      <c r="G43" s="106" t="s">
        <v>411</v>
      </c>
      <c r="H43" s="105" t="s">
        <v>55</v>
      </c>
      <c r="I43" s="106" t="s">
        <v>393</v>
      </c>
      <c r="J43" s="105" t="s">
        <v>412</v>
      </c>
      <c r="K43" s="105" t="s">
        <v>381</v>
      </c>
      <c r="L43" s="106" t="s">
        <v>33</v>
      </c>
      <c r="M43" s="106">
        <v>44227</v>
      </c>
      <c r="N43" s="106" t="s">
        <v>33</v>
      </c>
      <c r="O43" s="106" t="s">
        <v>382</v>
      </c>
      <c r="P43" s="105" t="s">
        <v>382</v>
      </c>
      <c r="Q43" s="106" t="s">
        <v>34</v>
      </c>
      <c r="R43" s="106" t="s">
        <v>277</v>
      </c>
      <c r="S43" s="105" t="s">
        <v>383</v>
      </c>
      <c r="T43" s="106" t="s">
        <v>33</v>
      </c>
      <c r="U43" s="106" t="s">
        <v>382</v>
      </c>
      <c r="V43" s="106" t="s">
        <v>33</v>
      </c>
      <c r="X43" s="105"/>
      <c r="Z43" s="105"/>
    </row>
    <row r="44" spans="1:26" ht="75" x14ac:dyDescent="0.25">
      <c r="A44" s="119" t="s">
        <v>55</v>
      </c>
      <c r="B44" s="119" t="s">
        <v>410</v>
      </c>
      <c r="C44" s="120" t="s">
        <v>377</v>
      </c>
      <c r="D44" s="120" t="s">
        <v>413</v>
      </c>
      <c r="E44" s="120" t="s">
        <v>33</v>
      </c>
      <c r="F44" s="120">
        <v>2219</v>
      </c>
      <c r="G44" s="120" t="s">
        <v>411</v>
      </c>
      <c r="H44" s="119" t="s">
        <v>414</v>
      </c>
      <c r="I44" s="120" t="s">
        <v>34</v>
      </c>
      <c r="J44" s="119" t="s">
        <v>415</v>
      </c>
      <c r="K44" s="119" t="s">
        <v>416</v>
      </c>
      <c r="L44" s="120" t="s">
        <v>33</v>
      </c>
      <c r="M44" s="120" t="s">
        <v>417</v>
      </c>
      <c r="N44" s="120" t="s">
        <v>417</v>
      </c>
      <c r="O44" s="120" t="s">
        <v>87</v>
      </c>
      <c r="P44" s="119" t="s">
        <v>43</v>
      </c>
      <c r="Q44" s="120" t="s">
        <v>34</v>
      </c>
      <c r="R44" s="120" t="s">
        <v>277</v>
      </c>
      <c r="S44" s="119" t="s">
        <v>418</v>
      </c>
      <c r="T44" s="120" t="s">
        <v>34</v>
      </c>
      <c r="U44" s="120" t="s">
        <v>33</v>
      </c>
      <c r="V44" s="120" t="s">
        <v>33</v>
      </c>
      <c r="X44" s="119"/>
      <c r="Z44" s="119"/>
    </row>
    <row r="45" spans="1:26" ht="75" x14ac:dyDescent="0.25">
      <c r="A45" s="119" t="s">
        <v>55</v>
      </c>
      <c r="B45" s="119" t="s">
        <v>410</v>
      </c>
      <c r="C45" s="120" t="s">
        <v>377</v>
      </c>
      <c r="D45" s="120" t="s">
        <v>413</v>
      </c>
      <c r="E45" s="120" t="s">
        <v>33</v>
      </c>
      <c r="F45" s="120">
        <v>2218</v>
      </c>
      <c r="G45" s="120" t="s">
        <v>55</v>
      </c>
      <c r="H45" s="119" t="s">
        <v>414</v>
      </c>
      <c r="I45" s="120" t="s">
        <v>34</v>
      </c>
      <c r="J45" s="119" t="s">
        <v>419</v>
      </c>
      <c r="K45" s="119" t="s">
        <v>416</v>
      </c>
      <c r="L45" s="120" t="s">
        <v>33</v>
      </c>
      <c r="M45" s="120" t="s">
        <v>420</v>
      </c>
      <c r="N45" s="120" t="s">
        <v>420</v>
      </c>
      <c r="O45" s="120" t="s">
        <v>275</v>
      </c>
      <c r="P45" s="119" t="s">
        <v>43</v>
      </c>
      <c r="Q45" s="120" t="s">
        <v>34</v>
      </c>
      <c r="R45" s="120" t="s">
        <v>409</v>
      </c>
      <c r="S45" s="119" t="s">
        <v>418</v>
      </c>
      <c r="T45" s="120" t="s">
        <v>34</v>
      </c>
      <c r="U45" s="120" t="s">
        <v>33</v>
      </c>
      <c r="V45" s="120" t="s">
        <v>33</v>
      </c>
      <c r="X45" s="119"/>
      <c r="Z45" s="119"/>
    </row>
    <row r="46" spans="1:26" ht="75" x14ac:dyDescent="0.25">
      <c r="A46" s="119" t="s">
        <v>55</v>
      </c>
      <c r="B46" s="119" t="s">
        <v>410</v>
      </c>
      <c r="C46" s="120" t="s">
        <v>377</v>
      </c>
      <c r="D46" s="120" t="s">
        <v>413</v>
      </c>
      <c r="E46" s="120" t="s">
        <v>33</v>
      </c>
      <c r="F46" s="120">
        <v>2217</v>
      </c>
      <c r="G46" s="120" t="s">
        <v>55</v>
      </c>
      <c r="H46" s="119" t="s">
        <v>414</v>
      </c>
      <c r="I46" s="120" t="s">
        <v>34</v>
      </c>
      <c r="J46" s="119" t="s">
        <v>419</v>
      </c>
      <c r="K46" s="119" t="s">
        <v>416</v>
      </c>
      <c r="L46" s="120" t="s">
        <v>33</v>
      </c>
      <c r="M46" s="120" t="s">
        <v>421</v>
      </c>
      <c r="N46" s="120" t="s">
        <v>421</v>
      </c>
      <c r="O46" s="120" t="s">
        <v>275</v>
      </c>
      <c r="P46" s="119" t="s">
        <v>43</v>
      </c>
      <c r="Q46" s="120" t="s">
        <v>34</v>
      </c>
      <c r="R46" s="120" t="s">
        <v>409</v>
      </c>
      <c r="S46" s="119" t="s">
        <v>418</v>
      </c>
      <c r="T46" s="120" t="s">
        <v>34</v>
      </c>
      <c r="U46" s="120" t="s">
        <v>33</v>
      </c>
      <c r="V46" s="120" t="s">
        <v>33</v>
      </c>
      <c r="X46" s="119"/>
      <c r="Z46" s="119"/>
    </row>
    <row r="47" spans="1:26" ht="75" x14ac:dyDescent="0.25">
      <c r="A47" s="119" t="s">
        <v>55</v>
      </c>
      <c r="B47" s="119" t="s">
        <v>410</v>
      </c>
      <c r="C47" s="120" t="s">
        <v>377</v>
      </c>
      <c r="D47" s="120" t="s">
        <v>413</v>
      </c>
      <c r="E47" s="120" t="s">
        <v>33</v>
      </c>
      <c r="F47" s="120">
        <v>2216</v>
      </c>
      <c r="G47" s="120" t="s">
        <v>411</v>
      </c>
      <c r="H47" s="119" t="s">
        <v>414</v>
      </c>
      <c r="I47" s="120" t="s">
        <v>34</v>
      </c>
      <c r="J47" s="119" t="s">
        <v>422</v>
      </c>
      <c r="K47" s="119" t="s">
        <v>416</v>
      </c>
      <c r="L47" s="120" t="s">
        <v>33</v>
      </c>
      <c r="M47" s="120" t="s">
        <v>423</v>
      </c>
      <c r="N47" s="120" t="s">
        <v>423</v>
      </c>
      <c r="O47" s="120" t="s">
        <v>275</v>
      </c>
      <c r="P47" s="119" t="s">
        <v>43</v>
      </c>
      <c r="Q47" s="120" t="s">
        <v>34</v>
      </c>
      <c r="R47" s="120" t="s">
        <v>277</v>
      </c>
      <c r="S47" s="119" t="s">
        <v>418</v>
      </c>
      <c r="T47" s="120" t="s">
        <v>34</v>
      </c>
      <c r="U47" s="120" t="s">
        <v>33</v>
      </c>
      <c r="V47" s="120" t="s">
        <v>33</v>
      </c>
      <c r="X47" s="119"/>
      <c r="Z47" s="119"/>
    </row>
    <row r="48" spans="1:26" ht="75" x14ac:dyDescent="0.25">
      <c r="A48" s="119" t="s">
        <v>55</v>
      </c>
      <c r="B48" s="119" t="s">
        <v>410</v>
      </c>
      <c r="C48" s="120" t="s">
        <v>377</v>
      </c>
      <c r="D48" s="120" t="s">
        <v>413</v>
      </c>
      <c r="E48" s="120" t="s">
        <v>33</v>
      </c>
      <c r="F48" s="120">
        <v>2215</v>
      </c>
      <c r="G48" s="120" t="s">
        <v>411</v>
      </c>
      <c r="H48" s="119" t="s">
        <v>414</v>
      </c>
      <c r="I48" s="120" t="s">
        <v>34</v>
      </c>
      <c r="J48" s="119" t="s">
        <v>422</v>
      </c>
      <c r="K48" s="119" t="s">
        <v>416</v>
      </c>
      <c r="L48" s="120" t="s">
        <v>33</v>
      </c>
      <c r="M48" s="120" t="s">
        <v>424</v>
      </c>
      <c r="N48" s="120" t="s">
        <v>424</v>
      </c>
      <c r="O48" s="120" t="s">
        <v>275</v>
      </c>
      <c r="P48" s="119" t="s">
        <v>43</v>
      </c>
      <c r="Q48" s="120" t="s">
        <v>34</v>
      </c>
      <c r="R48" s="120" t="s">
        <v>277</v>
      </c>
      <c r="S48" s="119" t="s">
        <v>418</v>
      </c>
      <c r="T48" s="120" t="s">
        <v>34</v>
      </c>
      <c r="U48" s="120" t="s">
        <v>33</v>
      </c>
      <c r="V48" s="120" t="s">
        <v>33</v>
      </c>
      <c r="X48" s="119"/>
      <c r="Z48" s="119"/>
    </row>
    <row r="49" spans="1:26" ht="75" x14ac:dyDescent="0.25">
      <c r="A49" s="119" t="s">
        <v>55</v>
      </c>
      <c r="B49" s="119" t="s">
        <v>410</v>
      </c>
      <c r="C49" s="120" t="s">
        <v>377</v>
      </c>
      <c r="D49" s="120" t="s">
        <v>413</v>
      </c>
      <c r="E49" s="120" t="s">
        <v>33</v>
      </c>
      <c r="F49" s="120">
        <v>2214</v>
      </c>
      <c r="G49" s="120" t="s">
        <v>411</v>
      </c>
      <c r="H49" s="119" t="s">
        <v>414</v>
      </c>
      <c r="I49" s="120" t="s">
        <v>34</v>
      </c>
      <c r="J49" s="119" t="s">
        <v>425</v>
      </c>
      <c r="K49" s="119" t="s">
        <v>416</v>
      </c>
      <c r="L49" s="120" t="s">
        <v>33</v>
      </c>
      <c r="M49" s="120" t="s">
        <v>426</v>
      </c>
      <c r="N49" s="120" t="s">
        <v>426</v>
      </c>
      <c r="O49" s="120" t="s">
        <v>275</v>
      </c>
      <c r="P49" s="119" t="s">
        <v>43</v>
      </c>
      <c r="Q49" s="120" t="s">
        <v>34</v>
      </c>
      <c r="R49" s="120" t="s">
        <v>277</v>
      </c>
      <c r="S49" s="119" t="s">
        <v>418</v>
      </c>
      <c r="T49" s="120" t="s">
        <v>34</v>
      </c>
      <c r="U49" s="120" t="s">
        <v>33</v>
      </c>
      <c r="V49" s="120" t="s">
        <v>33</v>
      </c>
      <c r="X49" s="119"/>
      <c r="Z49" s="119"/>
    </row>
    <row r="50" spans="1:26" ht="75" x14ac:dyDescent="0.25">
      <c r="A50" s="119" t="s">
        <v>55</v>
      </c>
      <c r="B50" s="119" t="s">
        <v>410</v>
      </c>
      <c r="C50" s="120" t="s">
        <v>377</v>
      </c>
      <c r="D50" s="120" t="s">
        <v>413</v>
      </c>
      <c r="E50" s="120" t="s">
        <v>33</v>
      </c>
      <c r="F50" s="120">
        <v>2213</v>
      </c>
      <c r="G50" s="120" t="s">
        <v>411</v>
      </c>
      <c r="H50" s="119" t="s">
        <v>414</v>
      </c>
      <c r="I50" s="120" t="s">
        <v>34</v>
      </c>
      <c r="J50" s="119" t="s">
        <v>425</v>
      </c>
      <c r="K50" s="119" t="s">
        <v>416</v>
      </c>
      <c r="L50" s="120" t="s">
        <v>33</v>
      </c>
      <c r="M50" s="120" t="s">
        <v>427</v>
      </c>
      <c r="N50" s="120" t="s">
        <v>427</v>
      </c>
      <c r="O50" s="120" t="s">
        <v>275</v>
      </c>
      <c r="P50" s="119" t="s">
        <v>43</v>
      </c>
      <c r="Q50" s="120" t="s">
        <v>34</v>
      </c>
      <c r="R50" s="120" t="s">
        <v>277</v>
      </c>
      <c r="S50" s="119" t="s">
        <v>418</v>
      </c>
      <c r="T50" s="120" t="s">
        <v>34</v>
      </c>
      <c r="U50" s="120" t="s">
        <v>33</v>
      </c>
      <c r="V50" s="120" t="s">
        <v>33</v>
      </c>
      <c r="X50" s="119"/>
      <c r="Z50" s="119"/>
    </row>
    <row r="51" spans="1:26" ht="75" x14ac:dyDescent="0.25">
      <c r="A51" s="119" t="s">
        <v>55</v>
      </c>
      <c r="B51" s="119" t="s">
        <v>410</v>
      </c>
      <c r="C51" s="120" t="s">
        <v>377</v>
      </c>
      <c r="D51" s="120" t="s">
        <v>413</v>
      </c>
      <c r="E51" s="120" t="s">
        <v>33</v>
      </c>
      <c r="F51" s="120">
        <v>2212</v>
      </c>
      <c r="G51" s="120" t="s">
        <v>411</v>
      </c>
      <c r="H51" s="119" t="s">
        <v>414</v>
      </c>
      <c r="I51" s="120" t="s">
        <v>34</v>
      </c>
      <c r="J51" s="119" t="s">
        <v>425</v>
      </c>
      <c r="K51" s="119" t="s">
        <v>416</v>
      </c>
      <c r="L51" s="120" t="s">
        <v>33</v>
      </c>
      <c r="M51" s="120" t="s">
        <v>428</v>
      </c>
      <c r="N51" s="120" t="s">
        <v>428</v>
      </c>
      <c r="O51" s="120" t="s">
        <v>275</v>
      </c>
      <c r="P51" s="119" t="s">
        <v>43</v>
      </c>
      <c r="Q51" s="120" t="s">
        <v>34</v>
      </c>
      <c r="R51" s="120" t="s">
        <v>277</v>
      </c>
      <c r="S51" s="119" t="s">
        <v>418</v>
      </c>
      <c r="T51" s="120" t="s">
        <v>34</v>
      </c>
      <c r="U51" s="120" t="s">
        <v>33</v>
      </c>
      <c r="V51" s="120" t="s">
        <v>33</v>
      </c>
      <c r="X51" s="119"/>
      <c r="Z51" s="119"/>
    </row>
    <row r="52" spans="1:26" ht="90" x14ac:dyDescent="0.25">
      <c r="A52" s="121" t="s">
        <v>429</v>
      </c>
      <c r="B52" s="121" t="s">
        <v>172</v>
      </c>
      <c r="C52" s="122" t="s">
        <v>430</v>
      </c>
      <c r="D52" s="122" t="s">
        <v>431</v>
      </c>
      <c r="E52" s="122" t="s">
        <v>33</v>
      </c>
      <c r="F52" s="122">
        <v>2229</v>
      </c>
      <c r="G52" s="122" t="s">
        <v>265</v>
      </c>
      <c r="H52" s="121" t="s">
        <v>432</v>
      </c>
      <c r="I52" s="122" t="s">
        <v>34</v>
      </c>
      <c r="J52" s="121" t="s">
        <v>433</v>
      </c>
      <c r="K52" s="121" t="s">
        <v>416</v>
      </c>
      <c r="L52" s="122" t="s">
        <v>33</v>
      </c>
      <c r="M52" s="122" t="s">
        <v>434</v>
      </c>
      <c r="N52" s="122" t="s">
        <v>434</v>
      </c>
      <c r="O52" s="122" t="s">
        <v>43</v>
      </c>
      <c r="P52" s="121" t="s">
        <v>43</v>
      </c>
      <c r="Q52" s="122" t="s">
        <v>34</v>
      </c>
      <c r="R52" s="122" t="s">
        <v>435</v>
      </c>
      <c r="S52" s="121" t="s">
        <v>418</v>
      </c>
      <c r="T52" s="122" t="s">
        <v>34</v>
      </c>
      <c r="U52" s="122" t="s">
        <v>33</v>
      </c>
      <c r="V52" s="122" t="s">
        <v>33</v>
      </c>
      <c r="X52" s="121"/>
      <c r="Z52" s="121"/>
    </row>
    <row r="53" spans="1:26" ht="120" x14ac:dyDescent="0.25">
      <c r="A53" s="121" t="s">
        <v>429</v>
      </c>
      <c r="B53" s="121" t="s">
        <v>172</v>
      </c>
      <c r="C53" s="122" t="s">
        <v>430</v>
      </c>
      <c r="D53" s="122" t="s">
        <v>431</v>
      </c>
      <c r="E53" s="122" t="s">
        <v>33</v>
      </c>
      <c r="F53" s="122">
        <v>2228</v>
      </c>
      <c r="G53" s="122" t="s">
        <v>266</v>
      </c>
      <c r="H53" s="121" t="s">
        <v>436</v>
      </c>
      <c r="I53" s="122" t="s">
        <v>437</v>
      </c>
      <c r="J53" s="121" t="s">
        <v>438</v>
      </c>
      <c r="K53" s="121" t="s">
        <v>416</v>
      </c>
      <c r="L53" s="122" t="s">
        <v>33</v>
      </c>
      <c r="M53" s="122" t="s">
        <v>439</v>
      </c>
      <c r="N53" s="122" t="s">
        <v>439</v>
      </c>
      <c r="O53" s="122" t="s">
        <v>275</v>
      </c>
      <c r="P53" s="121" t="s">
        <v>43</v>
      </c>
      <c r="Q53" s="122" t="s">
        <v>34</v>
      </c>
      <c r="R53" s="122" t="s">
        <v>277</v>
      </c>
      <c r="S53" s="121" t="s">
        <v>418</v>
      </c>
      <c r="T53" s="122" t="s">
        <v>34</v>
      </c>
      <c r="U53" s="122" t="s">
        <v>33</v>
      </c>
      <c r="V53" s="122" t="s">
        <v>33</v>
      </c>
      <c r="X53" s="121"/>
      <c r="Z53" s="121"/>
    </row>
    <row r="54" spans="1:26" ht="90" x14ac:dyDescent="0.25">
      <c r="A54" s="121" t="s">
        <v>429</v>
      </c>
      <c r="B54" s="121" t="s">
        <v>172</v>
      </c>
      <c r="C54" s="122" t="s">
        <v>430</v>
      </c>
      <c r="D54" s="122" t="s">
        <v>431</v>
      </c>
      <c r="E54" s="122" t="s">
        <v>33</v>
      </c>
      <c r="F54" s="122">
        <v>2225</v>
      </c>
      <c r="G54" s="122" t="s">
        <v>173</v>
      </c>
      <c r="H54" s="121" t="s">
        <v>440</v>
      </c>
      <c r="I54" s="122" t="s">
        <v>441</v>
      </c>
      <c r="J54" s="121" t="s">
        <v>442</v>
      </c>
      <c r="K54" s="121" t="s">
        <v>416</v>
      </c>
      <c r="L54" s="122" t="s">
        <v>33</v>
      </c>
      <c r="M54" s="122" t="s">
        <v>443</v>
      </c>
      <c r="N54" s="122" t="s">
        <v>443</v>
      </c>
      <c r="O54" s="122" t="s">
        <v>275</v>
      </c>
      <c r="P54" s="121" t="s">
        <v>43</v>
      </c>
      <c r="Q54" s="122" t="s">
        <v>34</v>
      </c>
      <c r="R54" s="122" t="s">
        <v>444</v>
      </c>
      <c r="S54" s="121" t="s">
        <v>418</v>
      </c>
      <c r="T54" s="122" t="s">
        <v>34</v>
      </c>
      <c r="U54" s="122" t="s">
        <v>33</v>
      </c>
      <c r="V54" s="122" t="s">
        <v>33</v>
      </c>
      <c r="X54" s="121"/>
      <c r="Z54" s="12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E6A8-B860-4445-85AF-C922A623A55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94DEE-EC0F-46C3-8196-0643B67FE0B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2026</vt:lpstr>
      <vt:lpstr>PROFESIONALES</vt:lpstr>
      <vt:lpstr>BD roberto</vt:lpstr>
      <vt:lpstr>ANAISIS BD</vt:lpstr>
      <vt:lpstr>--&gt;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WIN11</dc:creator>
  <cp:lastModifiedBy>EDER TORRES</cp:lastModifiedBy>
  <dcterms:created xsi:type="dcterms:W3CDTF">2015-06-05T18:19:34Z</dcterms:created>
  <dcterms:modified xsi:type="dcterms:W3CDTF">2026-03-06T15:08:31Z</dcterms:modified>
</cp:coreProperties>
</file>